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gar\Downloads\"/>
    </mc:Choice>
  </mc:AlternateContent>
  <xr:revisionPtr revIDLastSave="0" documentId="13_ncr:1_{93B3FD5F-FD17-4AB8-BBC1-B242D3492933}" xr6:coauthVersionLast="47" xr6:coauthVersionMax="47" xr10:uidLastSave="{00000000-0000-0000-0000-000000000000}"/>
  <bookViews>
    <workbookView xWindow="-120" yWindow="-120" windowWidth="20640" windowHeight="11040" activeTab="3" xr2:uid="{346724B3-1C49-40AE-AA36-C77CF5D6DD09}"/>
  </bookViews>
  <sheets>
    <sheet name="Pivot Tables" sheetId="6" r:id="rId1"/>
    <sheet name="Source Data" sheetId="1" r:id="rId2"/>
    <sheet name="Questions &amp; KPIs" sheetId="2" r:id="rId3"/>
    <sheet name="Dashboard" sheetId="12" r:id="rId4"/>
  </sheets>
  <definedNames>
    <definedName name="Slicer_Gender_Value">#N/A</definedName>
    <definedName name="Slicer_Order_Mode">#N/A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6" l="1"/>
  <c r="O8" i="6"/>
  <c r="O9" i="6"/>
  <c r="O10" i="6"/>
  <c r="O11" i="6"/>
  <c r="P7" i="6"/>
  <c r="Q7" i="6"/>
  <c r="R7" i="6"/>
  <c r="P8" i="6"/>
  <c r="Q8" i="6"/>
  <c r="R8" i="6"/>
  <c r="P9" i="6"/>
  <c r="Q9" i="6"/>
  <c r="R9" i="6"/>
  <c r="P10" i="6"/>
  <c r="Q10" i="6"/>
  <c r="R10" i="6"/>
  <c r="P11" i="6"/>
  <c r="Q11" i="6"/>
  <c r="R11" i="6"/>
  <c r="N8" i="6"/>
  <c r="N9" i="6"/>
  <c r="N10" i="6"/>
  <c r="N11" i="6"/>
  <c r="N7" i="6"/>
  <c r="J4" i="6"/>
  <c r="L4" i="6"/>
  <c r="K4" i="6"/>
  <c r="I4" i="6"/>
  <c r="H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<sst xmlns="http://schemas.openxmlformats.org/spreadsheetml/2006/main" count="14535" uniqueCount="2553">
  <si>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</si>
  <si>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</si>
  <si>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</si>
  <si>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</si>
  <si>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</si>
  <si>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</si>
  <si>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</si>
  <si>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</si>
  <si>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</si>
  <si>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</si>
  <si>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</si>
  <si>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</si>
  <si>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</si>
  <si>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</si>
  <si>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</si>
  <si>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</si>
  <si>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</si>
  <si>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</si>
  <si>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</si>
  <si>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</si>
  <si>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</si>
  <si>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</si>
  <si>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</si>
  <si>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</si>
  <si>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</si>
  <si>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</si>
  <si>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</si>
  <si>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</si>
  <si>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</si>
  <si>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</si>
  <si>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</si>
  <si>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</si>
  <si>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</si>
  <si>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</si>
  <si>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</si>
  <si>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</si>
  <si>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</si>
  <si>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</si>
  <si>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</si>
  <si>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</si>
  <si>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</si>
  <si>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</si>
  <si>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</si>
  <si>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</si>
  <si>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</si>
  <si>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</si>
  <si>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</si>
  <si>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</si>
  <si>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</si>
  <si>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</si>
  <si>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</si>
  <si>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</si>
  <si>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</si>
  <si>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</si>
  <si>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</si>
  <si>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</si>
  <si>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</si>
  <si>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</si>
  <si>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</si>
  <si>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</si>
  <si>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</si>
  <si>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</si>
  <si>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</si>
  <si>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</si>
  <si>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</si>
  <si>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</si>
  <si>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</si>
  <si>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</si>
  <si>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</si>
  <si>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</si>
  <si>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</si>
  <si>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</si>
  <si>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</si>
  <si>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</si>
  <si>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</si>
  <si>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</si>
  <si>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</si>
  <si>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</si>
  <si>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</si>
  <si>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</si>
  <si>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</si>
  <si>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</si>
  <si>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</si>
  <si>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</si>
  <si>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</si>
  <si>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</si>
  <si>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</si>
  <si>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</si>
  <si>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</si>
  <si>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</si>
  <si>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</si>
  <si>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</si>
  <si>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</si>
  <si>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</si>
  <si>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</si>
  <si>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</si>
  <si>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</si>
  <si>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</si>
  <si>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</si>
  <si>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</si>
  <si>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</si>
  <si>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</si>
  <si>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</si>
  <si>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</si>
  <si>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</si>
  <si>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</si>
  <si>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</si>
  <si>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</si>
  <si>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</si>
  <si>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</si>
  <si>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</si>
  <si>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</si>
  <si>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</si>
  <si>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</si>
  <si>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</si>
  <si>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</si>
  <si>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</si>
  <si>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</si>
  <si>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</si>
  <si>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</si>
  <si>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</si>
  <si>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</si>
  <si>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</si>
  <si>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</si>
  <si>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</si>
  <si>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</si>
  <si>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</si>
  <si>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</si>
  <si>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</si>
  <si>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</si>
  <si>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</si>
  <si>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</si>
  <si>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</si>
  <si>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</si>
  <si>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</si>
  <si>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</si>
  <si>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</si>
  <si>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</si>
  <si>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</si>
  <si>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</si>
  <si>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</si>
  <si>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</si>
  <si>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</si>
  <si>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</si>
  <si>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</si>
  <si>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</si>
  <si>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</si>
  <si>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</si>
  <si>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</si>
  <si>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</si>
  <si>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</si>
  <si>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</si>
  <si>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</si>
  <si>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</si>
  <si>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</si>
  <si>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</si>
  <si>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</si>
  <si>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</si>
  <si>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</si>
  <si>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</si>
  <si>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</si>
  <si>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</si>
  <si>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</si>
  <si>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</si>
  <si>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</si>
  <si>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</si>
  <si>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</si>
  <si>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</si>
  <si>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</si>
  <si>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</si>
  <si>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</si>
  <si>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</si>
  <si>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</si>
  <si>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</si>
  <si>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</si>
  <si>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</si>
  <si>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</si>
  <si>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</si>
  <si>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</si>
  <si>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</si>
  <si>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</si>
  <si>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</si>
  <si>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</si>
  <si>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</si>
  <si>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</si>
  <si>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</si>
  <si>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</si>
  <si>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</si>
  <si>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</si>
  <si>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</si>
  <si>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</si>
  <si>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</si>
  <si>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</si>
  <si>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</si>
  <si>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</si>
  <si>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</si>
  <si>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</si>
  <si>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</si>
  <si>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</si>
  <si>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</si>
  <si>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</si>
  <si>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</si>
  <si>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</si>
  <si>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</si>
  <si>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</si>
  <si>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</si>
  <si>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</si>
  <si>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</si>
  <si>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</si>
  <si>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</si>
  <si>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</si>
  <si>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</si>
  <si>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</si>
  <si>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</si>
  <si>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</si>
  <si>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</si>
  <si>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</si>
  <si>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</si>
  <si>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</si>
  <si>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</si>
  <si>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</si>
  <si>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</si>
  <si>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</si>
  <si>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</si>
  <si>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</si>
  <si>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</si>
  <si>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</si>
  <si>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</si>
  <si>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</si>
  <si>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</si>
  <si>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</si>
  <si>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</si>
  <si>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</si>
  <si>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</si>
  <si>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</si>
  <si>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</si>
  <si>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</si>
  <si>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</si>
  <si>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</si>
  <si>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</si>
  <si>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</si>
  <si>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</si>
  <si>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</si>
  <si>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</si>
  <si>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</si>
  <si>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</si>
  <si>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</si>
  <si>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</si>
  <si>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</si>
  <si>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</si>
  <si>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</si>
  <si>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</si>
  <si>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</si>
  <si>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</si>
  <si>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</si>
  <si>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</si>
  <si>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</si>
  <si>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</si>
  <si>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</si>
  <si>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</si>
  <si>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</si>
  <si>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</si>
  <si>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</si>
  <si>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</si>
  <si>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</si>
  <si>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</si>
  <si>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</si>
  <si>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</si>
  <si>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</si>
  <si>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</si>
  <si>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</si>
  <si>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</si>
  <si>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</si>
  <si>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</si>
  <si>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</si>
  <si>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</si>
  <si>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</si>
  <si>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</si>
  <si>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</si>
  <si>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</si>
  <si>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</si>
  <si>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</si>
  <si>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</si>
  <si>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</si>
  <si>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</si>
  <si>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</si>
  <si>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</si>
  <si>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</si>
  <si>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</si>
  <si>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</si>
  <si>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</si>
  <si>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</si>
  <si>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</si>
  <si>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</si>
  <si>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</si>
  <si>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</si>
  <si>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</si>
  <si>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</si>
  <si>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</si>
  <si>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</si>
  <si>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</si>
  <si>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</si>
  <si>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</si>
  <si>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</si>
  <si>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</si>
  <si>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</si>
  <si>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</si>
  <si>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</si>
  <si>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</si>
  <si>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</si>
  <si>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</si>
  <si>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</si>
  <si>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</si>
  <si>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</si>
  <si>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</si>
  <si>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</si>
  <si>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</si>
  <si>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</si>
  <si>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</si>
  <si>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</si>
  <si>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</si>
  <si>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</si>
  <si>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</si>
  <si>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</si>
  <si>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</si>
  <si>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</si>
  <si>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</si>
  <si>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</si>
  <si>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</si>
  <si>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</si>
  <si>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</si>
  <si>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</si>
  <si>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</si>
  <si>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</si>
  <si>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</si>
  <si>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</si>
  <si>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</si>
  <si>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</si>
  <si>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</si>
  <si>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</si>
  <si>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</si>
  <si>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</si>
  <si>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</si>
  <si>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</si>
  <si>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</si>
  <si>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</si>
  <si>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</si>
  <si>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</si>
  <si>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</si>
  <si>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</si>
  <si>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</si>
  <si>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</si>
  <si>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</si>
  <si>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</si>
  <si>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</si>
  <si>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</si>
  <si>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</si>
  <si>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</si>
  <si>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</si>
  <si>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</si>
  <si>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</si>
  <si>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</si>
  <si>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</si>
  <si>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</si>
  <si>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</si>
  <si>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</si>
  <si>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</si>
  <si>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</si>
  <si>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</si>
  <si>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</si>
  <si>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</si>
  <si>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</si>
  <si>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</si>
  <si>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</si>
  <si>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</si>
  <si>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</si>
  <si>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</si>
  <si>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</si>
  <si>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</si>
  <si>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</si>
  <si>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</si>
  <si>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</si>
  <si>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</si>
  <si>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</si>
  <si>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</si>
  <si>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</si>
  <si>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</si>
  <si>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</si>
  <si>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</si>
  <si>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</si>
  <si>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</si>
  <si>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</si>
  <si>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</si>
  <si>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</si>
  <si>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</si>
  <si>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</si>
  <si>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</si>
  <si>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</si>
  <si>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</si>
  <si>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</si>
  <si>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</si>
  <si>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</si>
  <si>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</si>
  <si>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</si>
  <si>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</si>
  <si>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</si>
  <si>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</si>
  <si>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</si>
  <si>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</si>
  <si>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</si>
  <si>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</si>
  <si>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</si>
  <si>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</si>
  <si>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</si>
  <si>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</si>
  <si>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</si>
  <si>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</si>
  <si>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</si>
  <si>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</si>
  <si>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</si>
  <si>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</si>
  <si>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</si>
  <si>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</si>
  <si>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</si>
  <si>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</si>
  <si>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</si>
  <si>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</si>
  <si>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</si>
  <si>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</si>
  <si>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</si>
  <si>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</si>
  <si>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</si>
  <si>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</si>
  <si>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</si>
  <si>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</si>
  <si>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</si>
  <si>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</si>
  <si>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</si>
  <si>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</si>
  <si>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</si>
  <si>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</si>
  <si>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</si>
  <si>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</si>
  <si>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</si>
  <si>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</si>
  <si>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</si>
  <si>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</si>
  <si>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</si>
  <si>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</si>
  <si>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</si>
  <si>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</si>
  <si>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</si>
  <si>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</si>
  <si>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</si>
  <si>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</si>
  <si>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</si>
  <si>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</si>
  <si>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</si>
  <si>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</si>
  <si>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</si>
  <si>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</si>
  <si>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</si>
  <si>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</si>
  <si>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</si>
  <si>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</si>
  <si>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</si>
  <si>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</si>
  <si>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</si>
  <si>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</si>
  <si>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</si>
  <si>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</si>
  <si>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</si>
  <si>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</si>
  <si>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</si>
  <si>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</si>
  <si>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</si>
  <si>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</si>
  <si>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</si>
  <si>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</si>
  <si>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</si>
  <si>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</si>
  <si>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</si>
  <si>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</si>
  <si>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</si>
  <si>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</si>
  <si>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</si>
  <si>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</si>
  <si>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</si>
  <si>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</si>
  <si>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</si>
  <si>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</si>
  <si>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</si>
  <si>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</si>
  <si>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</si>
  <si>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</si>
  <si>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</si>
  <si>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</si>
  <si>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</si>
  <si>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</si>
  <si>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</si>
  <si>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</si>
  <si>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</si>
  <si>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</si>
  <si>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</si>
  <si>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</si>
  <si>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</si>
  <si>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</si>
  <si>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</si>
  <si>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</si>
  <si>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</si>
  <si>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</si>
  <si>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</si>
  <si>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</si>
  <si>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</si>
  <si>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</si>
  <si>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</si>
  <si>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</si>
  <si>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</si>
  <si>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</si>
  <si>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</si>
  <si>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</si>
  <si>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</si>
  <si>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</si>
  <si>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</si>
  <si>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</si>
  <si>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</si>
  <si>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</si>
  <si>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</si>
  <si>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</si>
  <si>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</si>
  <si>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</si>
  <si>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</si>
  <si>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</si>
  <si>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</si>
  <si>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</si>
  <si>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</si>
  <si>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</si>
  <si>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</si>
  <si>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</si>
  <si>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</si>
  <si>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</si>
  <si>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</si>
  <si>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</si>
  <si>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</si>
  <si>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</si>
  <si>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</si>
  <si>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</si>
  <si>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</si>
  <si>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</si>
  <si>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</si>
  <si>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</si>
  <si>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</si>
  <si>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</si>
  <si>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</si>
  <si>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</si>
  <si>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</si>
  <si>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</si>
  <si>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</si>
  <si>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</si>
  <si>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</si>
  <si>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</si>
  <si>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</si>
  <si>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</si>
  <si>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</si>
  <si>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</si>
  <si>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</si>
  <si>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</si>
  <si>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</si>
  <si>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</si>
  <si>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</si>
  <si>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</si>
  <si>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</si>
  <si>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</si>
  <si>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</si>
  <si>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</si>
  <si>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</si>
  <si>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</si>
  <si>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</si>
  <si>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</si>
  <si>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</si>
  <si>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</si>
  <si>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</si>
  <si>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</si>
  <si>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</si>
  <si>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</si>
  <si>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</si>
  <si>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</si>
  <si>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</si>
  <si>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</si>
  <si>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</si>
  <si>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</si>
  <si>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</si>
  <si>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</si>
  <si>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</si>
  <si>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</si>
  <si>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</si>
  <si>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</si>
  <si>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</si>
  <si>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</si>
  <si>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</si>
  <si>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</si>
  <si>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</si>
  <si>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</si>
  <si>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</si>
  <si>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</si>
  <si>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</si>
  <si>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</si>
  <si>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</si>
  <si>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</si>
  <si>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</si>
  <si>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</si>
  <si>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</si>
  <si>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</si>
  <si>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</si>
  <si>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</si>
  <si>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</si>
  <si>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</si>
  <si>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</si>
  <si>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</si>
  <si>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</si>
  <si>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</si>
  <si>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</si>
  <si>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</si>
  <si>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</si>
  <si>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</si>
  <si>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</si>
  <si>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</si>
  <si>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</si>
  <si>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</si>
  <si>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</si>
  <si>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</si>
  <si>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</si>
  <si>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</si>
  <si>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</si>
  <si>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</si>
  <si>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</si>
  <si>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</si>
  <si>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</si>
  <si>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</si>
  <si>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</si>
  <si>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</si>
  <si>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</si>
  <si>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</si>
  <si>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</si>
  <si>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</si>
  <si>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</si>
  <si>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</si>
  <si>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</si>
  <si>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</si>
  <si>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</si>
  <si>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</si>
  <si>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</si>
  <si>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</si>
  <si>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</si>
  <si>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</si>
  <si>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</si>
  <si>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</si>
  <si>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</si>
  <si>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</si>
  <si>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</si>
  <si>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</si>
  <si>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</si>
  <si>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</si>
  <si>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</si>
  <si>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</si>
  <si>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</si>
  <si>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</si>
  <si>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</si>
  <si>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</si>
  <si>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</si>
  <si>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</si>
  <si>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</si>
  <si>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</si>
  <si>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</si>
  <si>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</si>
  <si>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</si>
  <si>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</si>
  <si>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</si>
  <si>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</si>
  <si>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</si>
  <si>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</si>
  <si>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</si>
  <si>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</si>
  <si>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</si>
  <si>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</si>
  <si>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</si>
  <si>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</si>
  <si>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</si>
  <si>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</si>
  <si>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</si>
  <si>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</si>
  <si>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</si>
  <si>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</si>
  <si>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</si>
  <si>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</si>
  <si>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</si>
  <si>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</si>
  <si>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</si>
  <si>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</si>
  <si>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</si>
  <si>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</si>
  <si>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</si>
  <si>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</si>
  <si>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</si>
  <si>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</si>
  <si>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</si>
  <si>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</si>
  <si>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</si>
  <si>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</si>
  <si>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</si>
  <si>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</si>
  <si>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</si>
  <si>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</si>
  <si>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</si>
  <si>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</si>
  <si>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</si>
  <si>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</si>
  <si>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</si>
  <si>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</si>
  <si>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</si>
  <si>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</si>
  <si>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</si>
  <si>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</si>
  <si>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</si>
  <si>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</si>
  <si>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</si>
  <si>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</si>
  <si>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</si>
  <si>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</si>
  <si>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</si>
  <si>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</si>
  <si>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</si>
  <si>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</si>
  <si>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</si>
  <si>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</si>
  <si>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</si>
  <si>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</si>
  <si>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</si>
  <si>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</si>
  <si>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</si>
  <si>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</si>
  <si>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</si>
  <si>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</si>
  <si>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</si>
  <si>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</si>
  <si>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</si>
  <si>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</si>
  <si>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</si>
  <si>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</si>
  <si>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</si>
  <si>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</si>
  <si>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</si>
  <si>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</si>
  <si>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</si>
  <si>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</si>
  <si>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</si>
  <si>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</si>
  <si>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</si>
  <si>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</si>
  <si>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</si>
  <si>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</si>
  <si>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</si>
  <si>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</si>
  <si>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</si>
  <si>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</si>
  <si>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</si>
  <si>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</si>
  <si>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</si>
  <si>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</si>
  <si>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</si>
  <si>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</si>
  <si>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</si>
  <si>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</si>
  <si>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</si>
  <si>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</si>
  <si>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</si>
  <si>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</si>
  <si>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</si>
  <si>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</si>
  <si>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</si>
  <si>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</si>
  <si>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</si>
  <si>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</si>
  <si>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</si>
  <si>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</si>
  <si>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</si>
  <si>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</si>
  <si>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</si>
  <si>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</si>
  <si>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</si>
  <si>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</si>
  <si>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</si>
  <si>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</si>
  <si>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</si>
  <si>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</si>
  <si>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</si>
  <si>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</si>
  <si>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</si>
  <si>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</si>
  <si>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</si>
  <si>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</si>
  <si>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</si>
  <si>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</si>
  <si>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</si>
  <si>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</si>
  <si>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</si>
  <si>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</si>
  <si>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</si>
  <si>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</si>
  <si>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</si>
  <si>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</si>
  <si>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</si>
  <si>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</si>
  <si>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</si>
  <si>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</si>
  <si>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</si>
  <si>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</si>
  <si>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</si>
  <si>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</si>
  <si>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</si>
  <si>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</si>
  <si>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</si>
  <si>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</si>
  <si>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</si>
  <si>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</si>
  <si>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</si>
  <si>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</si>
  <si>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</si>
  <si>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</si>
  <si>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</si>
  <si>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</si>
  <si>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</si>
  <si>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</si>
  <si>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</si>
  <si>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</si>
  <si>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</si>
  <si>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</si>
  <si>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</si>
  <si>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</si>
  <si>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</si>
  <si>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</si>
  <si>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</si>
  <si>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</si>
  <si>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</si>
  <si>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</si>
  <si>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</si>
  <si>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</si>
  <si>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</si>
  <si>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</si>
  <si>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</si>
  <si>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</si>
  <si>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</si>
  <si>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</si>
  <si>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</si>
  <si>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</si>
  <si>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</si>
  <si>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</si>
  <si>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</si>
  <si>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</si>
  <si>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</si>
  <si>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</si>
  <si>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</si>
  <si>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</si>
  <si>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</si>
  <si>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</si>
  <si>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</si>
  <si>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</si>
  <si>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</si>
  <si>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</si>
  <si>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</si>
  <si>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</si>
  <si>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</si>
  <si>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</si>
  <si>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</si>
  <si>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</si>
  <si>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</si>
  <si>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</si>
  <si>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</si>
  <si>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</si>
  <si>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</si>
  <si>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</si>
  <si>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</si>
  <si>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</si>
  <si>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</si>
  <si>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</si>
  <si>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</si>
  <si>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</si>
  <si>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</si>
  <si>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</si>
  <si>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</si>
  <si>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</si>
  <si>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</si>
  <si>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</si>
  <si>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</si>
  <si>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</si>
  <si>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</si>
  <si>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</si>
  <si>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</si>
  <si>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</si>
  <si>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</si>
  <si>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</si>
  <si>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</si>
  <si>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</si>
  <si>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</si>
  <si>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</si>
  <si>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</si>
  <si>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</si>
  <si>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</si>
  <si>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</si>
  <si>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</si>
  <si>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</si>
  <si>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</si>
  <si>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</si>
  <si>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</si>
  <si>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</si>
  <si>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</si>
  <si>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</si>
  <si>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</si>
  <si>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</si>
  <si>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</si>
  <si>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</si>
  <si>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</si>
  <si>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</si>
  <si>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</si>
  <si>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</si>
  <si>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</si>
  <si>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</si>
  <si>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</si>
  <si>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</si>
  <si>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</si>
  <si>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</si>
  <si>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</si>
  <si>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</si>
  <si>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</si>
  <si>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</si>
  <si>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</si>
  <si>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</si>
  <si>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</si>
  <si>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</si>
  <si>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</si>
  <si>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</si>
  <si>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</si>
  <si>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</si>
  <si>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</si>
  <si>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</si>
  <si>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</si>
  <si>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</si>
  <si>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</si>
  <si>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</si>
  <si>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</si>
  <si>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</si>
  <si>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</si>
  <si>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</si>
  <si>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</si>
  <si>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</si>
  <si>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</si>
  <si>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</si>
  <si>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</si>
  <si>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</si>
  <si>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</si>
  <si>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</si>
  <si>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</si>
  <si>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</si>
  <si>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</si>
  <si>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</si>
  <si>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</si>
  <si>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</si>
  <si>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</si>
  <si>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</si>
  <si>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</si>
  <si>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</si>
  <si>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</si>
  <si>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</si>
  <si>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</si>
  <si>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</si>
  <si>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</si>
  <si>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</si>
  <si>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</si>
  <si>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</si>
  <si>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</si>
  <si>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</si>
  <si>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</si>
  <si>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</si>
  <si>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</si>
  <si>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</si>
  <si>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</si>
  <si>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</si>
  <si>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</si>
  <si>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</si>
  <si>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</si>
  <si>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</si>
  <si>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</si>
  <si>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</si>
  <si>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</si>
  <si>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</si>
  <si>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</si>
  <si>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</si>
  <si>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</si>
  <si>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</si>
  <si>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</si>
  <si>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</si>
  <si>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</si>
  <si>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</si>
  <si>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</si>
  <si>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</si>
  <si>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</si>
  <si>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</si>
  <si>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</si>
  <si>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</si>
  <si>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</si>
  <si>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</si>
  <si>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</si>
  <si>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</si>
  <si>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</si>
  <si>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</si>
  <si>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</si>
  <si>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</si>
  <si>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</si>
  <si>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</si>
  <si>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</si>
  <si>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</si>
  <si>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</si>
  <si>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</si>
  <si>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</si>
  <si>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</si>
  <si>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</si>
  <si>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</si>
  <si>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</si>
  <si>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</si>
  <si>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</si>
  <si>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</si>
  <si>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</si>
  <si>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</si>
  <si>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</si>
  <si>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</si>
  <si>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</si>
  <si>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</si>
  <si>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</si>
  <si>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</si>
  <si>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</si>
  <si>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</si>
  <si>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</si>
  <si>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</si>
  <si>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</si>
  <si>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</si>
  <si>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</si>
  <si>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</si>
  <si>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</si>
  <si>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</si>
  <si>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</si>
  <si>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</si>
  <si>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</si>
  <si>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</si>
  <si>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</si>
  <si>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</si>
  <si>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</si>
  <si>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</si>
  <si>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</si>
  <si>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</si>
  <si>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</si>
  <si>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</si>
  <si>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</si>
  <si>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</si>
  <si>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</si>
  <si>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</si>
  <si>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</si>
  <si>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</si>
  <si>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</si>
  <si>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</si>
  <si>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</si>
  <si>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</si>
  <si>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</si>
  <si>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</si>
  <si>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</si>
  <si>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</si>
  <si>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</si>
  <si>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</si>
  <si>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</si>
  <si>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</si>
  <si>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</si>
  <si>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</si>
  <si>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</si>
  <si>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</si>
  <si>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</si>
  <si>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</si>
  <si>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</si>
  <si>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</si>
  <si>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</si>
  <si>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</si>
  <si>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</si>
  <si>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</si>
  <si>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</si>
  <si>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</si>
  <si>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</si>
  <si>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</si>
  <si>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</si>
  <si>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</si>
  <si>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</si>
  <si>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</si>
  <si>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</si>
  <si>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</si>
  <si>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</si>
  <si>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</si>
  <si>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</si>
  <si>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</si>
  <si>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</si>
  <si>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</si>
  <si>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</si>
  <si>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</si>
  <si>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</si>
  <si>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</si>
  <si>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</si>
  <si>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</si>
  <si>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</si>
  <si>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</si>
  <si>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</si>
  <si>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</si>
  <si>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</si>
  <si>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</si>
  <si>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</si>
  <si>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</si>
  <si>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</si>
  <si>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</si>
  <si>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</si>
  <si>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</si>
  <si>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</si>
  <si>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</si>
  <si>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</si>
  <si>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</si>
  <si>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</si>
  <si>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</si>
  <si>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</si>
  <si>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</si>
  <si>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</si>
  <si>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</si>
  <si>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</si>
  <si>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</si>
  <si>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</si>
  <si>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</si>
  <si>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</si>
  <si>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</si>
  <si>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</si>
  <si>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</si>
  <si>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</si>
  <si>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</si>
  <si>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</si>
  <si>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</si>
  <si>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</si>
  <si>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</si>
  <si>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</si>
  <si>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</si>
  <si>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</si>
  <si>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</si>
  <si>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</si>
  <si>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</si>
  <si>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</si>
  <si>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</si>
  <si>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</si>
  <si>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</si>
  <si>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</si>
  <si>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</si>
  <si>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</si>
  <si>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</si>
  <si>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</si>
  <si>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</si>
  <si>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</si>
  <si>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</si>
  <si>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</si>
  <si>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</si>
  <si>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</si>
  <si>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</si>
  <si>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</si>
  <si>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</si>
  <si>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</si>
  <si>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</si>
  <si>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</si>
  <si>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</si>
  <si>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</si>
  <si>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</si>
  <si>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</si>
  <si>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</si>
  <si>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</si>
  <si>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</si>
  <si>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</si>
  <si>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</si>
  <si>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</si>
  <si>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</si>
  <si>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</si>
  <si>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</si>
  <si>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</si>
  <si>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</si>
  <si>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</si>
  <si>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</si>
  <si>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</si>
  <si>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</si>
  <si>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</si>
  <si>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</si>
  <si>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</si>
  <si>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</si>
  <si>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</si>
  <si>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</si>
  <si>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</si>
  <si>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</si>
  <si>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</si>
  <si>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</si>
  <si>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</si>
  <si>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</si>
  <si>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</si>
  <si>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</si>
  <si>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</si>
  <si>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</si>
  <si>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</si>
  <si>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</si>
  <si>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</si>
  <si>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</si>
  <si>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</si>
  <si>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</si>
  <si>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</si>
  <si>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</si>
  <si>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</si>
  <si>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</si>
  <si>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</si>
  <si>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</si>
  <si>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</si>
  <si>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</si>
  <si>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</si>
  <si>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</si>
  <si>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</si>
  <si>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</si>
  <si>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</si>
  <si>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</si>
  <si>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</si>
  <si>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</si>
  <si>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</si>
  <si>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</si>
  <si>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</si>
  <si>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</si>
  <si>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</si>
  <si>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</si>
  <si>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</si>
  <si>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</si>
  <si>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</si>
  <si>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</si>
  <si>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</si>
  <si>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</si>
  <si>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</si>
  <si>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</si>
  <si>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</si>
  <si>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</si>
  <si>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</si>
  <si>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</si>
  <si>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</si>
  <si>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</si>
  <si>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</si>
  <si>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</si>
  <si>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</si>
  <si>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</si>
  <si>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</si>
  <si>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</si>
  <si>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</si>
  <si>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</si>
  <si>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</si>
  <si>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</si>
  <si>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</si>
  <si>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</si>
  <si>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</si>
  <si>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</si>
  <si>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</si>
  <si>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</si>
  <si>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</si>
  <si>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</si>
  <si>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</si>
  <si>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</si>
  <si>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</si>
  <si>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</si>
  <si>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</si>
  <si>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</si>
  <si>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</si>
  <si>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</si>
  <si>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</si>
  <si>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</si>
  <si>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</si>
  <si>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</si>
  <si>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</si>
  <si>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</si>
  <si>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</si>
  <si>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</si>
  <si>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</si>
  <si>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</si>
  <si>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</si>
  <si>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</si>
  <si>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</si>
  <si>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</si>
  <si>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</si>
  <si>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</si>
  <si>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</si>
  <si>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</si>
  <si>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</si>
  <si>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</si>
  <si>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</si>
  <si>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</si>
  <si>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</si>
  <si>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</si>
  <si>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</si>
  <si>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</si>
  <si>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</si>
  <si>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</si>
  <si>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</si>
  <si>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</si>
  <si>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</si>
  <si>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</si>
  <si>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</si>
  <si>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</si>
  <si>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</si>
  <si>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</si>
  <si>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</si>
  <si>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</si>
  <si>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</si>
  <si>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</si>
  <si>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</si>
  <si>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</si>
  <si>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</si>
  <si>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</si>
  <si>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</si>
  <si>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</si>
  <si>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</si>
  <si>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</si>
  <si>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</si>
  <si>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</si>
  <si>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</si>
  <si>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</si>
  <si>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</si>
  <si>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</si>
  <si>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</si>
  <si>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</si>
  <si>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</si>
  <si>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</si>
  <si>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</si>
  <si>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</si>
  <si>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</si>
  <si>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</si>
  <si>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</si>
  <si>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</si>
  <si>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</si>
  <si>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</si>
  <si>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</si>
  <si>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</si>
  <si>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</si>
  <si>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</si>
  <si>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</si>
  <si>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</si>
  <si>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</si>
  <si>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</si>
  <si>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</si>
  <si>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</si>
  <si>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</si>
  <si>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</si>
  <si>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</si>
  <si>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</si>
  <si>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</si>
  <si>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</si>
  <si>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</si>
  <si>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</si>
  <si>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</si>
  <si>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</si>
  <si>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</si>
  <si>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</si>
  <si>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</si>
  <si>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</si>
  <si>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</si>
  <si>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</si>
  <si>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</si>
  <si>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</si>
  <si>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</si>
  <si>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</si>
  <si>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</si>
  <si>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</si>
  <si>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</si>
  <si>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</si>
  <si>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</si>
  <si>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</si>
  <si>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</si>
  <si>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</si>
  <si>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</si>
  <si>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</si>
  <si>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</si>
  <si>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</si>
  <si>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</si>
  <si>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</si>
  <si>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</si>
  <si>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</si>
  <si>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</si>
  <si>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</si>
  <si>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</si>
  <si>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</si>
  <si>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</si>
  <si>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</si>
  <si>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</si>
  <si>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</si>
  <si>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</si>
  <si>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</si>
  <si>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</si>
  <si>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</si>
  <si>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</si>
  <si>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</si>
  <si>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</si>
  <si>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</si>
  <si>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</si>
  <si>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</si>
  <si>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</si>
  <si>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</si>
  <si>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</si>
  <si>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</si>
  <si>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</si>
  <si>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</si>
  <si>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</si>
  <si>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</si>
  <si>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</si>
  <si>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</si>
  <si>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</si>
  <si>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</si>
  <si>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</si>
  <si>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</si>
  <si>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</si>
  <si>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</si>
  <si>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</si>
  <si>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</si>
  <si>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</si>
  <si>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</si>
  <si>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</si>
  <si>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</si>
  <si>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</si>
  <si>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</si>
  <si>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</si>
  <si>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</si>
  <si>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</si>
  <si>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</si>
  <si>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</si>
  <si>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</si>
  <si>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</si>
  <si>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</si>
  <si>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</si>
  <si>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</si>
  <si>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</si>
  <si>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</si>
  <si>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</si>
  <si>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</si>
  <si>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</si>
  <si>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</si>
  <si>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</si>
  <si>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</si>
  <si>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</si>
  <si>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</si>
  <si>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</si>
  <si>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</si>
  <si>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</si>
  <si>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</si>
  <si>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</si>
  <si>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</si>
  <si>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</si>
  <si>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</si>
  <si>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</si>
  <si>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</si>
  <si>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</si>
  <si>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</si>
  <si>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</si>
  <si>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</si>
  <si>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</si>
  <si>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</si>
  <si>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</si>
  <si>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</si>
  <si>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</si>
  <si>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</si>
  <si>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</si>
  <si>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</si>
  <si>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</si>
  <si>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</si>
  <si>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</si>
  <si>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</si>
  <si>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</si>
  <si>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</si>
  <si>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</si>
  <si>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</si>
  <si>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</si>
  <si>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</si>
  <si>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</si>
  <si>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</si>
  <si>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</si>
  <si>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</si>
  <si>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</si>
  <si>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</si>
  <si>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</si>
  <si>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</si>
  <si>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</si>
  <si>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</si>
  <si>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</si>
  <si>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</si>
  <si>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</si>
  <si>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</si>
  <si>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</si>
  <si>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</si>
  <si>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</si>
  <si>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</si>
  <si>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</si>
  <si>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</si>
  <si>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</si>
  <si>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</si>
  <si>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</si>
  <si>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</si>
  <si>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</si>
  <si>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</si>
  <si>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</si>
  <si>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</si>
  <si>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</si>
  <si>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</si>
  <si>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</si>
  <si>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</si>
  <si>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</si>
  <si>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</si>
  <si>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</si>
  <si>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</si>
  <si>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</si>
  <si>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</si>
  <si>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</si>
  <si>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</si>
  <si>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</si>
  <si>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</si>
  <si>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</si>
  <si>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</si>
  <si>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</si>
  <si>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</si>
  <si>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</si>
  <si>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</si>
  <si>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</si>
  <si>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</si>
  <si>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</si>
  <si>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</si>
  <si>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</si>
  <si>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</si>
  <si>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</si>
  <si>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</si>
  <si>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</si>
  <si>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</si>
  <si>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</si>
  <si>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</si>
  <si>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</si>
  <si>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</si>
  <si>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</si>
  <si>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</si>
  <si>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</si>
  <si>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</si>
  <si>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</si>
  <si>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</si>
  <si>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</si>
  <si>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</si>
  <si>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</si>
  <si>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</si>
  <si>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</si>
  <si>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</si>
  <si>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</si>
  <si>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</si>
  <si>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</si>
  <si>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</si>
  <si>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</si>
  <si>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</si>
  <si>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</si>
  <si>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</si>
  <si>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</si>
  <si>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</si>
  <si>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</si>
  <si>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</si>
  <si>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</si>
  <si>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</si>
  <si>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</si>
  <si>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</si>
  <si>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</si>
  <si>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</si>
  <si>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</si>
  <si>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</si>
  <si>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</si>
  <si>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</si>
  <si>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</si>
  <si>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</si>
  <si>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</si>
  <si>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</si>
  <si>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</si>
  <si>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</si>
  <si>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</si>
  <si>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</si>
  <si>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</si>
  <si>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</si>
  <si>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</si>
  <si>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</si>
  <si>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</si>
  <si>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</si>
  <si>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</si>
  <si>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</si>
  <si>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</si>
  <si>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</si>
  <si>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</si>
  <si>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</si>
  <si>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</si>
  <si>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</si>
  <si>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</si>
  <si>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</si>
  <si>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</si>
  <si>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</si>
  <si>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</si>
  <si>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</si>
  <si>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</si>
  <si>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</si>
  <si>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</si>
  <si>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</si>
  <si>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</si>
  <si>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</si>
  <si>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</si>
  <si>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</si>
  <si>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</si>
  <si>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</si>
  <si>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</si>
  <si>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</si>
  <si>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</si>
  <si>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</si>
  <si>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</si>
  <si>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</si>
  <si>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</si>
  <si>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</si>
  <si>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</si>
  <si>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</si>
  <si>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</si>
  <si>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</si>
  <si>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</si>
  <si>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</si>
  <si>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</si>
  <si>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</si>
  <si>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</si>
  <si>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</si>
  <si>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</si>
  <si>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</si>
  <si>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</si>
  <si>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</si>
  <si>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</si>
  <si>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</si>
  <si>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</si>
  <si>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</si>
  <si>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</si>
  <si>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</si>
  <si>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</si>
  <si>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</si>
  <si>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</si>
  <si>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</si>
  <si>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</si>
  <si>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</si>
  <si>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</si>
  <si>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</si>
  <si>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</si>
  <si>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</si>
  <si>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</si>
  <si>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</si>
  <si>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</si>
  <si>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</si>
  <si>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</si>
  <si>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</si>
  <si>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</si>
  <si>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</si>
  <si>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</si>
  <si>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</si>
  <si>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</si>
  <si>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</si>
  <si>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</si>
  <si>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</si>
  <si>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</si>
  <si>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</si>
  <si>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</si>
  <si>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</si>
  <si>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</si>
  <si>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</si>
  <si>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</si>
  <si>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</si>
  <si>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</si>
  <si>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</si>
  <si>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</si>
  <si>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</si>
  <si>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</si>
  <si>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</si>
  <si>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</si>
  <si>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</si>
  <si>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</si>
  <si>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</si>
  <si>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</si>
  <si>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</si>
  <si>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</si>
  <si>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</si>
  <si>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</si>
  <si>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</si>
  <si>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</si>
  <si>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</si>
  <si>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</si>
  <si>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</si>
  <si>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</si>
  <si>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</si>
  <si>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</si>
  <si>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</si>
  <si>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</si>
  <si>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</si>
  <si>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</si>
  <si>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</si>
  <si>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</si>
  <si>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</si>
  <si>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</si>
  <si>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</si>
  <si>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</si>
  <si>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</si>
  <si>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</si>
  <si>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</si>
  <si>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</si>
  <si>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</si>
  <si>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</si>
  <si>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</si>
  <si>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</si>
  <si>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</si>
  <si>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</si>
  <si>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</si>
  <si>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</si>
  <si>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</si>
  <si>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</si>
  <si>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</si>
  <si>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</si>
  <si>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</si>
  <si>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</si>
  <si>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</si>
  <si>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</si>
  <si>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</si>
  <si>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</si>
  <si>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</si>
  <si>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</si>
  <si>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</si>
  <si>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</si>
  <si>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</si>
  <si>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</si>
  <si>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</si>
  <si>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</si>
  <si>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</si>
  <si>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</si>
  <si>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</si>
  <si>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</si>
  <si>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</si>
  <si>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</si>
  <si>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</si>
  <si>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</si>
  <si>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</si>
  <si>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</si>
  <si>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</si>
  <si>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</si>
  <si>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</si>
  <si>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</si>
  <si>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</si>
  <si>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</si>
  <si>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</si>
  <si>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</si>
  <si>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</si>
  <si>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</si>
  <si>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</si>
  <si>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</si>
  <si>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</si>
  <si>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</si>
  <si>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</si>
  <si>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</si>
  <si>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</si>
  <si>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</si>
  <si>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</si>
  <si>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</si>
  <si>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</si>
  <si>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</si>
  <si>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</si>
  <si>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</si>
  <si>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</si>
  <si>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</si>
  <si>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</si>
  <si>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</si>
  <si>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</si>
  <si>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</si>
  <si>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</si>
  <si>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</si>
  <si>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</si>
  <si>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</si>
  <si>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</si>
  <si>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</si>
  <si>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</si>
  <si>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</si>
  <si>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</si>
  <si>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</si>
  <si>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</si>
  <si>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</si>
  <si>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</si>
  <si>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</si>
  <si>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</si>
  <si>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</si>
  <si>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</si>
  <si>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</si>
  <si>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</si>
  <si>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</si>
  <si>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</si>
  <si>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</si>
  <si>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</si>
  <si>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</si>
  <si>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</si>
  <si>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</si>
  <si>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</si>
  <si>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</si>
  <si>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</si>
  <si>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</si>
  <si>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</si>
  <si>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</si>
  <si>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</si>
  <si>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</si>
  <si>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</si>
  <si>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</si>
  <si>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</si>
  <si>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</si>
  <si>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</si>
  <si>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</si>
  <si>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</si>
  <si>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</si>
  <si>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</si>
  <si>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</si>
  <si>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</si>
  <si>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</si>
  <si>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</si>
  <si>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</si>
  <si>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</si>
  <si>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</si>
  <si>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</si>
  <si>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</si>
  <si>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</si>
  <si>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</si>
  <si>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</si>
  <si>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</si>
  <si>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</si>
  <si>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</si>
  <si>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</si>
  <si>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</si>
  <si>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</si>
  <si>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</si>
  <si>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</si>
  <si>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</si>
  <si>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</si>
  <si>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</si>
  <si>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</si>
  <si>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</si>
  <si>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</si>
  <si>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</si>
  <si>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</si>
  <si>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</si>
  <si>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</si>
  <si>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</si>
  <si>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</si>
  <si>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</si>
  <si>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</si>
  <si>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</si>
  <si>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</si>
  <si>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</si>
  <si>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</si>
  <si>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</si>
  <si>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</si>
  <si>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</si>
  <si>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</si>
  <si>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</si>
  <si>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</si>
  <si>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</si>
  <si>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</si>
  <si>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</si>
  <si>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</si>
  <si>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</si>
  <si>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</si>
  <si>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</si>
  <si>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</si>
  <si>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</si>
  <si>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</si>
  <si>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</si>
  <si>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</si>
  <si>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</si>
  <si>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</si>
  <si>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</si>
  <si>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</si>
  <si>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</si>
  <si>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</si>
  <si>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</si>
  <si>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</si>
  <si>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</si>
  <si>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</si>
  <si>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</si>
  <si>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</si>
  <si>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</si>
  <si>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</si>
  <si>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</si>
  <si>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</si>
  <si>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</si>
  <si>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</si>
  <si>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</si>
  <si>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</si>
  <si>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</si>
  <si>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</si>
  <si>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</si>
  <si>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</si>
  <si>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</si>
  <si>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</si>
  <si>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</si>
  <si>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</si>
  <si>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</si>
  <si>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</si>
  <si>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</si>
  <si>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</si>
  <si>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</si>
  <si>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</si>
  <si>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</si>
  <si>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</si>
  <si>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</si>
  <si>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</si>
  <si>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</si>
  <si>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</si>
  <si>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</si>
  <si>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</si>
  <si>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</si>
  <si>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</si>
  <si>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</si>
  <si>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</si>
  <si>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</si>
  <si>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</si>
  <si>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</si>
  <si>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</si>
  <si>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</si>
  <si>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</si>
  <si>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</si>
  <si>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</si>
  <si>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</si>
  <si>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</si>
  <si>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</si>
  <si>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</si>
  <si>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</si>
  <si>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</si>
  <si>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</si>
  <si>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</si>
  <si>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</si>
  <si>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</si>
  <si>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</si>
  <si>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</si>
  <si>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</si>
  <si>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</si>
  <si>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</si>
  <si>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</si>
  <si>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</si>
  <si>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</si>
  <si>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</si>
  <si>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</si>
  <si>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</si>
  <si>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</si>
  <si>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</si>
  <si>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</si>
  <si>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</si>
  <si>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</si>
  <si>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</si>
  <si>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</si>
  <si>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</si>
  <si>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</si>
  <si>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</si>
  <si>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</si>
  <si>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</si>
  <si>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</si>
  <si>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</si>
  <si>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</si>
  <si>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</si>
  <si>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</si>
  <si>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</si>
  <si>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</si>
  <si>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</si>
  <si>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</si>
  <si>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</si>
  <si>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</si>
  <si>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</si>
  <si>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</si>
  <si>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</si>
  <si>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</si>
  <si>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</si>
  <si>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</si>
  <si>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</si>
  <si>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</si>
  <si>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</si>
  <si>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</si>
  <si>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</si>
  <si>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</si>
  <si>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</si>
  <si>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</si>
  <si>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</si>
  <si>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</si>
  <si>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</si>
  <si>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</si>
  <si>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</si>
  <si>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</si>
  <si>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</si>
  <si>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</si>
  <si>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</si>
  <si>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</si>
  <si>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</si>
  <si>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</si>
  <si>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</si>
  <si>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</si>
  <si>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</si>
  <si>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</si>
  <si>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</si>
  <si>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</si>
  <si>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</si>
  <si>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</si>
  <si>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</si>
  <si>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</si>
  <si>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</si>
  <si>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</si>
  <si>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</si>
  <si>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</si>
  <si>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</si>
  <si>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</si>
  <si>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</si>
  <si>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</si>
  <si>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</si>
  <si>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</si>
  <si>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</si>
  <si>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</si>
  <si>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</si>
  <si>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</si>
  <si>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</si>
  <si>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</si>
  <si>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</si>
  <si>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</si>
  <si>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</si>
  <si>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</si>
  <si>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</si>
  <si>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</si>
  <si>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</si>
  <si>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</si>
  <si>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</si>
  <si>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</si>
  <si>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</si>
  <si>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</si>
  <si>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</si>
  <si>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</si>
  <si>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</si>
  <si>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</si>
  <si>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</si>
  <si>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</si>
  <si>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</si>
  <si>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</si>
  <si>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</si>
  <si>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</si>
  <si>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</si>
  <si>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</si>
  <si>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</si>
  <si>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</si>
  <si>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</si>
  <si>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</si>
  <si>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</si>
  <si>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</si>
  <si>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</si>
  <si>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</si>
  <si>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</si>
  <si>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</si>
  <si>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</si>
  <si>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</si>
  <si>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</si>
  <si>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</si>
  <si>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</si>
  <si>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</si>
  <si>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</si>
  <si>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</si>
  <si>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</si>
  <si>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</si>
  <si>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</si>
  <si>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</si>
  <si>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</si>
  <si>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</si>
  <si>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</si>
  <si>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</si>
  <si>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</si>
  <si>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</si>
  <si>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</si>
  <si>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</si>
  <si>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</si>
  <si>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</si>
  <si>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</si>
  <si>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</si>
  <si>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</si>
  <si>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</si>
  <si>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</si>
  <si>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</si>
  <si>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</si>
  <si>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</si>
  <si>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</si>
  <si>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</si>
  <si>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</si>
  <si>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</si>
  <si>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</si>
  <si>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</si>
  <si>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</si>
  <si>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</si>
  <si>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</si>
  <si>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</si>
  <si>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</si>
  <si>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</si>
  <si>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</si>
  <si>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</si>
  <si>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</si>
  <si>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</si>
  <si>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</si>
  <si>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</si>
  <si>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</si>
  <si>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</si>
  <si>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</si>
  <si>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</si>
  <si>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</si>
  <si>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</si>
  <si>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</si>
  <si>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</si>
  <si>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</si>
  <si>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</si>
  <si>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</si>
  <si>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</si>
  <si>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</si>
  <si>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</si>
  <si>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</si>
  <si>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</si>
  <si>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</si>
  <si>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</si>
  <si>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</si>
  <si>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</si>
  <si>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</si>
  <si>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</si>
  <si>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</si>
  <si>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</si>
  <si>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</si>
  <si>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</si>
  <si>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</si>
  <si>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</si>
  <si>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</si>
  <si>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</si>
  <si>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</si>
  <si>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</si>
  <si>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</si>
  <si>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</si>
  <si>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</si>
  <si>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</si>
  <si>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</si>
  <si>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</si>
  <si>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</si>
  <si>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</si>
  <si>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</si>
  <si>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</si>
  <si>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</si>
  <si>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</si>
  <si>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</si>
  <si>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</si>
  <si>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</si>
  <si>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</si>
  <si>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</si>
  <si>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</si>
  <si>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</si>
  <si>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</si>
  <si>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</si>
  <si>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</si>
  <si>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</si>
  <si>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</si>
  <si>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</si>
  <si>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</si>
  <si>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</si>
  <si>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</si>
  <si>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</si>
  <si>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</si>
  <si>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</si>
  <si>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</si>
  <si>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</si>
  <si>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</si>
  <si>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</si>
  <si>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</si>
  <si>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</si>
  <si>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</si>
  <si>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</si>
  <si>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</si>
  <si>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</si>
  <si>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</si>
  <si>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</si>
  <si>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</si>
  <si>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</si>
  <si>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</si>
  <si>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</si>
  <si>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</si>
  <si>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</si>
  <si>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</si>
  <si>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</si>
  <si>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</si>
  <si>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</si>
  <si>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</si>
  <si>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</si>
  <si>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</si>
  <si>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</si>
  <si>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</si>
  <si>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</si>
  <si>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</si>
  <si>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</si>
  <si>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</si>
  <si>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</si>
  <si>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</si>
  <si>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</si>
  <si>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</si>
  <si>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</si>
  <si>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</si>
  <si>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</si>
  <si>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</si>
  <si>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</si>
  <si>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</si>
  <si>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</si>
  <si>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</si>
  <si>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</si>
  <si>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</si>
  <si>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</si>
  <si>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</si>
  <si>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</si>
  <si>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</si>
  <si>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</si>
  <si>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</si>
  <si>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</si>
  <si>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</si>
  <si>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</si>
  <si>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</si>
  <si>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</si>
  <si>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</si>
  <si>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</si>
  <si>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</si>
  <si>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</si>
  <si>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</si>
  <si>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</si>
  <si>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</si>
  <si>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</si>
  <si>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</si>
  <si>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</si>
  <si>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</si>
  <si>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</si>
  <si>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</si>
  <si>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</si>
  <si>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</si>
  <si>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</si>
  <si>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</si>
  <si>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</si>
  <si>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</si>
  <si>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</si>
  <si>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</si>
  <si>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</si>
  <si>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</si>
  <si>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</si>
  <si>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</si>
  <si>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</si>
  <si>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</si>
  <si>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</si>
  <si>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</si>
  <si>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</si>
  <si>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</si>
  <si>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</si>
  <si>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</si>
  <si>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</si>
  <si>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</si>
  <si>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</si>
  <si>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</si>
  <si>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</si>
  <si>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</si>
  <si>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</si>
  <si>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</si>
  <si>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</si>
  <si>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</si>
  <si>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</si>
  <si>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</si>
  <si>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</si>
  <si>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</si>
  <si>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</si>
  <si>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</si>
  <si>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</si>
  <si>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</si>
  <si>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</si>
  <si>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</si>
  <si>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</si>
  <si>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</si>
  <si>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</si>
  <si>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</si>
  <si>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</si>
  <si>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</si>
  <si>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</si>
  <si>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</si>
  <si>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</si>
  <si>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</si>
  <si>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</si>
  <si>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</si>
  <si>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</si>
  <si>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</si>
  <si>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</si>
  <si>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</si>
  <si>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</si>
  <si>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</si>
  <si>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</si>
  <si>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</si>
  <si>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</si>
  <si>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</si>
  <si>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</si>
  <si>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</si>
  <si>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</si>
  <si>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</si>
  <si>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</si>
  <si>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</si>
  <si>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</si>
  <si>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</si>
  <si>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</si>
  <si>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</si>
  <si>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</si>
  <si>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</si>
  <si>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</si>
  <si>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</si>
  <si>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</si>
  <si>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</si>
  <si>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</si>
  <si>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</si>
  <si>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</si>
  <si>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</si>
  <si>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</si>
  <si>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</si>
  <si>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</si>
  <si>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</si>
  <si>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</si>
  <si>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</si>
  <si>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</si>
  <si>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</si>
  <si>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</si>
  <si>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</si>
  <si>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</si>
  <si>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</si>
  <si>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</si>
  <si>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</si>
  <si>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</si>
  <si>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</si>
  <si>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</si>
  <si>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</si>
  <si>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</si>
  <si>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</si>
  <si>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</si>
  <si>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</si>
  <si>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</si>
  <si>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</si>
  <si>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</si>
  <si>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</si>
  <si>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</si>
  <si>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</si>
  <si>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</si>
  <si>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</si>
  <si>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</si>
  <si>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</si>
  <si>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</si>
  <si>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</si>
  <si>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</si>
  <si>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</si>
  <si>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</si>
  <si>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</si>
  <si>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</si>
  <si>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</si>
  <si>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</si>
  <si>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</si>
  <si>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</si>
  <si>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</si>
  <si>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</si>
  <si>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</si>
  <si>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</si>
  <si>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</si>
  <si>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</si>
  <si>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</si>
  <si>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</si>
  <si>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</si>
  <si>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</si>
  <si>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</si>
  <si>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</si>
  <si>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</si>
  <si>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</si>
  <si>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</si>
  <si>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</si>
  <si>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</si>
  <si>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</si>
  <si>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</si>
  <si>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</si>
  <si>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</si>
  <si>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</si>
  <si>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</si>
  <si>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</si>
  <si>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</si>
  <si>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</si>
  <si>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</si>
  <si>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</si>
  <si>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</si>
  <si>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</si>
  <si>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</si>
  <si>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</si>
  <si>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</si>
  <si>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</si>
  <si>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</si>
  <si>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</si>
  <si>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</si>
  <si>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</si>
  <si>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</si>
  <si>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</si>
  <si>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</si>
  <si>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</si>
  <si>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</si>
  <si>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</si>
  <si>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</si>
  <si>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</si>
  <si>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</si>
  <si>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</si>
  <si>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</si>
  <si>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</si>
  <si>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</si>
  <si>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</si>
  <si>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</si>
  <si>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</si>
  <si>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</si>
  <si>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</si>
  <si>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</si>
  <si>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</si>
  <si>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</si>
  <si>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</si>
  <si>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</si>
  <si>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</si>
  <si>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</si>
  <si>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</si>
  <si>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</si>
  <si>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</si>
  <si>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</si>
  <si>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</si>
  <si>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</si>
  <si>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</si>
  <si>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</si>
  <si>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</si>
  <si>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</si>
  <si>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</si>
  <si>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</si>
  <si>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</si>
  <si>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</si>
  <si>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</si>
  <si>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</si>
  <si>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</si>
  <si>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</si>
  <si>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</si>
  <si>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</si>
  <si>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</si>
  <si>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</si>
  <si>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</si>
  <si>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</si>
  <si>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</si>
  <si>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</si>
  <si>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</si>
  <si>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</si>
  <si>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</si>
  <si>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</si>
  <si>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</si>
  <si>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</si>
  <si>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</si>
  <si>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</si>
  <si>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</si>
  <si>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</si>
  <si>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</si>
  <si>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</si>
  <si>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</si>
  <si>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</si>
  <si>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</si>
  <si>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</si>
  <si>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</si>
  <si>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</si>
  <si>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</si>
  <si>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</si>
  <si>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</si>
  <si>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</si>
  <si>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</si>
  <si>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</si>
  <si>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</si>
  <si>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</si>
  <si>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</si>
  <si>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</si>
  <si>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</si>
  <si>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</si>
  <si>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</si>
  <si>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</si>
  <si>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</si>
  <si>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</si>
  <si>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</si>
  <si>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</si>
  <si>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</si>
  <si>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</si>
  <si>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</si>
  <si>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</si>
  <si>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</si>
  <si>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</si>
  <si>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</si>
  <si>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</si>
  <si>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</si>
  <si>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</si>
  <si>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</si>
  <si>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</si>
  <si>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</si>
  <si>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</si>
  <si>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</si>
  <si>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</si>
  <si>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</si>
  <si>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</si>
  <si>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</si>
  <si>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</si>
  <si>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</si>
  <si>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</si>
  <si>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</si>
  <si>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Emojis</t>
  </si>
  <si>
    <t>🛒</t>
  </si>
  <si>
    <t>👕</t>
  </si>
  <si>
    <t>💰</t>
  </si>
  <si>
    <t>⭐</t>
  </si>
  <si>
    <t>📅</t>
  </si>
  <si>
    <t>Orders</t>
  </si>
  <si>
    <t>Rating</t>
  </si>
  <si>
    <t>Days to deliver</t>
  </si>
  <si>
    <t>Count of TX ID</t>
  </si>
  <si>
    <t>Sum of Quantity</t>
  </si>
  <si>
    <t>Sum of Amount</t>
  </si>
  <si>
    <t xml:space="preserve">Avg Rating </t>
  </si>
  <si>
    <t>Avg Days to Deliver</t>
  </si>
  <si>
    <t>QTY</t>
  </si>
  <si>
    <t>Avg Rating</t>
  </si>
  <si>
    <t>Avg Days</t>
  </si>
  <si>
    <t xml:space="preserve">Values Of the Cells </t>
  </si>
  <si>
    <t>Row Labels</t>
  </si>
  <si>
    <t>Grand Total</t>
  </si>
  <si>
    <t>Column Labels</t>
  </si>
  <si>
    <t>Female</t>
  </si>
  <si>
    <t>Male</t>
  </si>
  <si>
    <t>Other</t>
  </si>
  <si>
    <t>Unknown</t>
  </si>
  <si>
    <t xml:space="preserve">For Matrix </t>
  </si>
  <si>
    <t>Fe</t>
  </si>
  <si>
    <t>Ma</t>
  </si>
  <si>
    <t>Oth</t>
  </si>
  <si>
    <t>Unk</t>
  </si>
  <si>
    <t>More than 11</t>
  </si>
  <si>
    <t>6to10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</si>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</sst>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xf numFmtId="0" fontId="0" fillId="0" borderId="1" xfId="0" applyBorder="1"/>
    <xf numFmtId="165" fontId="0" fillId="0" borderId="0" xfId="0" applyNumberFormat="1"/>
    <xf numFmtId="0" fontId="0" fillId="0" borderId="1" xfId="0" applyNumberFormat="1" applyBorder="1"/>
    <xf numFmtId="0" fontId="0" fillId="0" borderId="1" xfId="0" pivotButton="1" applyBorder="1"/>
    <xf numFmtId="0" fontId="0" fillId="0" borderId="1" xfId="0" applyBorder="1" applyAlignment="1">
      <alignment horizontal="left"/>
    </xf>
    <xf numFmtId="10" fontId="0" fillId="0" borderId="1" xfId="0" applyNumberFormat="1" applyBorder="1"/>
    <xf numFmtId="0" fontId="0" fillId="0" borderId="1" xfId="0" applyBorder="1"/>
  </cellXfs>
  <cellStyles count="1">
    <cellStyle name="Normal" xfId="0" builtinId="0"/>
  </cellStyles>
  <dxfs count="59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64" formatCode="d\-mmm\-yy"/>
    </dxf>
    <dxf>
      <numFmt numFmtId="164" formatCode="d\-mmm\-yy"/>
    </dxf>
  </dxfs>
  <tableStyles count="1" defaultTableStyle="TableStyleMedium2" defaultPivotStyle="PivotStyleLight16">
    <tableStyle name="Invisible" pivot="0" table="0" count="0" xr9:uid="{720281C7-260A-46C7-827A-6928F0494F58}"/>
  </tableStyles>
  <colors>
    <mruColors>
      <color rgb="FF67F76A"/>
      <color rgb="FF98F36B"/>
      <color rgb="FF006600"/>
      <color rgb="FFB3FBB5"/>
      <color rgb="FF074914"/>
      <color rgb="FF0099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Tables!PivotTable2</c:name>
    <c:fmtId val="59"/>
  </c:pivotSource>
  <c:chart>
    <c:autoTitleDeleted val="0"/>
    <c:pivotFmts>
      <c:pivotFmt>
        <c:idx val="0"/>
        <c:spPr>
          <a:solidFill>
            <a:schemeClr val="accent1"/>
          </a:solidFill>
          <a:ln w="28575" cap="rnd">
            <a:solidFill>
              <a:schemeClr val="accent6"/>
            </a:solidFill>
            <a:round/>
          </a:ln>
          <a:effectLst/>
        </c:spPr>
        <c:marker>
          <c:symbol val="circle"/>
          <c:size val="5"/>
          <c:spPr>
            <a:solidFill>
              <a:schemeClr val="accent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solidFill>
            <a:round/>
          </a:ln>
          <a:effectLst/>
        </c:spPr>
        <c:marker>
          <c:symbol val="circle"/>
          <c:size val="5"/>
          <c:spPr>
            <a:solidFill>
              <a:schemeClr val="accent2"/>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circle"/>
          <c:size val="5"/>
          <c:spPr>
            <a:solidFill>
              <a:schemeClr val="accent2"/>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2"/>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0927384076988E-2"/>
          <c:y val="0.1"/>
          <c:w val="0.8133051181102362"/>
          <c:h val="0.77254488188976378"/>
        </c:manualLayout>
      </c:layout>
      <c:lineChart>
        <c:grouping val="standard"/>
        <c:varyColors val="0"/>
        <c:ser>
          <c:idx val="0"/>
          <c:order val="0"/>
          <c:tx>
            <c:strRef>
              <c:f>'Pivot Tables'!$C$6</c:f>
              <c:strCache>
                <c:ptCount val="1"/>
                <c:pt idx="0">
                  <c:v>Sum of Quantity</c:v>
                </c:pt>
              </c:strCache>
            </c:strRef>
          </c:tx>
          <c:spPr>
            <a:ln w="28575" cap="rnd">
              <a:solidFill>
                <a:schemeClr val="accent6"/>
              </a:solidFill>
              <a:round/>
            </a:ln>
            <a:effectLst/>
          </c:spPr>
          <c:marker>
            <c:symbol val="circle"/>
            <c:size val="5"/>
            <c:spPr>
              <a:solidFill>
                <a:schemeClr val="accent1"/>
              </a:solidFill>
              <a:ln w="9525">
                <a:solidFill>
                  <a:schemeClr val="accent6"/>
                </a:solidFill>
              </a:ln>
              <a:effectLst/>
            </c:spPr>
          </c:marker>
          <c:cat>
            <c:strRef>
              <c:f>'Pivot Tables'!$B$7:$B$20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Tables'!$C$7:$C$20</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28E8-49AE-86F2-276AFE686EBB}"/>
            </c:ext>
          </c:extLst>
        </c:ser>
        <c:dLbls>
          <c:showLegendKey val="0"/>
          <c:showVal val="0"/>
          <c:showCatName val="0"/>
          <c:showSerName val="0"/>
          <c:showPercent val="0"/>
          <c:showBubbleSize val="0"/>
        </c:dLbls>
        <c:marker val="1"/>
        <c:smooth val="0"/>
        <c:axId val="823022031"/>
        <c:axId val="440751087"/>
      </c:lineChart>
      <c:lineChart>
        <c:grouping val="standard"/>
        <c:varyColors val="0"/>
        <c:ser>
          <c:idx val="1"/>
          <c:order val="1"/>
          <c:tx>
            <c:strRef>
              <c:f>'Pivot Tables'!$D$6</c:f>
              <c:strCache>
                <c:ptCount val="1"/>
                <c:pt idx="0">
                  <c:v>Sum of Amount</c:v>
                </c:pt>
              </c:strCache>
            </c:strRef>
          </c:tx>
          <c:spPr>
            <a:ln w="28575" cap="rnd">
              <a:solidFill>
                <a:schemeClr val="accent5"/>
              </a:solidFill>
              <a:round/>
            </a:ln>
            <a:effectLst/>
          </c:spPr>
          <c:marker>
            <c:symbol val="circle"/>
            <c:size val="5"/>
            <c:spPr>
              <a:solidFill>
                <a:schemeClr val="accent2"/>
              </a:solidFill>
              <a:ln w="9525">
                <a:solidFill>
                  <a:schemeClr val="accent5"/>
                </a:solidFill>
              </a:ln>
              <a:effectLst/>
            </c:spPr>
          </c:marker>
          <c:cat>
            <c:strRef>
              <c:f>'Pivot Tables'!$B$7:$B$20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Tables'!$D$7:$D$20</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28E8-49AE-86F2-276AFE686EBB}"/>
            </c:ext>
          </c:extLst>
        </c:ser>
        <c:dLbls>
          <c:showLegendKey val="0"/>
          <c:showVal val="0"/>
          <c:showCatName val="0"/>
          <c:showSerName val="0"/>
          <c:showPercent val="0"/>
          <c:showBubbleSize val="0"/>
        </c:dLbls>
        <c:marker val="1"/>
        <c:smooth val="0"/>
        <c:axId val="823054047"/>
        <c:axId val="440808207"/>
      </c:lineChart>
      <c:catAx>
        <c:axId val="82302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51087"/>
        <c:crosses val="autoZero"/>
        <c:auto val="1"/>
        <c:lblAlgn val="ctr"/>
        <c:lblOffset val="100"/>
        <c:noMultiLvlLbl val="0"/>
      </c:catAx>
      <c:valAx>
        <c:axId val="44075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22031"/>
        <c:crosses val="autoZero"/>
        <c:crossBetween val="between"/>
      </c:valAx>
      <c:valAx>
        <c:axId val="4408082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23054047"/>
        <c:crosses val="max"/>
        <c:crossBetween val="between"/>
      </c:valAx>
      <c:catAx>
        <c:axId val="823054047"/>
        <c:scaling>
          <c:orientation val="minMax"/>
        </c:scaling>
        <c:delete val="1"/>
        <c:axPos val="b"/>
        <c:numFmt formatCode="General" sourceLinked="1"/>
        <c:majorTickMark val="out"/>
        <c:minorTickMark val="none"/>
        <c:tickLblPos val="nextTo"/>
        <c:crossAx val="4408082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016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By Transections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Tables'!$C$23</c:f>
              <c:strCache>
                <c:ptCount val="1"/>
                <c:pt idx="0">
                  <c:v>Total</c:v>
                </c:pt>
              </c:strCache>
            </c:strRef>
          </c:tx>
          <c:spPr>
            <a:solidFill>
              <a:srgbClr val="C00000"/>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Tables'!$B$24:$B$31</c:f>
              <c:strCache>
                <c:ptCount val="7"/>
                <c:pt idx="0">
                  <c:v>1</c:v>
                </c:pt>
                <c:pt idx="1">
                  <c:v>2</c:v>
                </c:pt>
                <c:pt idx="2">
                  <c:v>3</c:v>
                </c:pt>
                <c:pt idx="3">
                  <c:v>4</c:v>
                </c:pt>
                <c:pt idx="4">
                  <c:v>5</c:v>
                </c:pt>
                <c:pt idx="5">
                  <c:v>6to10</c:v>
                </c:pt>
                <c:pt idx="6">
                  <c:v>More than 11</c:v>
                </c:pt>
              </c:strCache>
            </c:strRef>
          </c:cat>
          <c:val>
            <c:numRef>
              <c:f>'Pivot Tables'!$C$24:$C$31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738-4CB1-BDEF-AA5A167925F9}"/>
            </c:ext>
          </c:extLst>
        </c:ser>
        <c:dLbls>
          <c:showLegendKey val="0"/>
          <c:showVal val="0"/>
          <c:showCatName val="0"/>
          <c:showSerName val="0"/>
          <c:showPercent val="0"/>
          <c:showBubbleSize val="0"/>
        </c:dLbls>
        <c:gapWidth val="10"/>
        <c:overlap val="-27"/>
        <c:axId val="777486223"/>
        <c:axId val="440826447"/>
      </c:barChart>
      <c:catAx>
        <c:axId val="77748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26447"/>
        <c:crosses val="autoZero"/>
        <c:auto val="1"/>
        <c:lblAlgn val="ctr"/>
        <c:lblOffset val="100"/>
        <c:noMultiLvlLbl val="0"/>
      </c:catAx>
      <c:valAx>
        <c:axId val="44082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8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86953397013858"/>
          <c:y val="9.3140128317293666E-2"/>
          <c:w val="0.51696835373619976"/>
          <c:h val="0.84204505686789155"/>
        </c:manualLayout>
      </c:layout>
      <c:barChart>
        <c:barDir val="bar"/>
        <c:grouping val="stacked"/>
        <c:varyColors val="0"/>
        <c:ser>
          <c:idx val="0"/>
          <c:order val="0"/>
          <c:tx>
            <c:strRef>
              <c:f>'Pivot Tables'!$G$16:$G$17</c:f>
              <c:strCache>
                <c:ptCount val="1"/>
                <c:pt idx="0">
                  <c:v>Female</c:v>
                </c:pt>
              </c:strCache>
            </c:strRef>
          </c:tx>
          <c:spPr>
            <a:solidFill>
              <a:schemeClr val="tx2"/>
            </a:solidFill>
            <a:ln>
              <a:noFill/>
            </a:ln>
            <a:effectLst/>
          </c:spPr>
          <c:invertIfNegative val="0"/>
          <c:cat>
            <c:strRef>
              <c:f>'Pivot Tables'!$F$18:$F$38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Tables'!$G$18:$G$38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5B1-43CD-A6B4-85D65E319E22}"/>
            </c:ext>
          </c:extLst>
        </c:ser>
        <c:ser>
          <c:idx val="1"/>
          <c:order val="1"/>
          <c:tx>
            <c:strRef>
              <c:f>'Pivot Tables'!$H$16:$H$17</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Tables'!$F$18:$F$38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Tables'!$H$18:$H$38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1-65B1-43CD-A6B4-85D65E319E22}"/>
            </c:ext>
          </c:extLst>
        </c:ser>
        <c:ser>
          <c:idx val="2"/>
          <c:order val="2"/>
          <c:tx>
            <c:strRef>
              <c:f>'Pivot Tables'!$I$16:$I$17</c:f>
              <c:strCache>
                <c:ptCount val="1"/>
                <c:pt idx="0">
                  <c:v>Other</c:v>
                </c:pt>
              </c:strCache>
            </c:strRef>
          </c:tx>
          <c:spPr>
            <a:solidFill>
              <a:schemeClr val="accent3"/>
            </a:solidFill>
            <a:ln>
              <a:noFill/>
            </a:ln>
            <a:effectLst/>
          </c:spPr>
          <c:invertIfNegative val="0"/>
          <c:cat>
            <c:strRef>
              <c:f>'Pivot Tables'!$F$18:$F$38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Tables'!$I$18:$I$38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2-65B1-43CD-A6B4-85D65E319E22}"/>
            </c:ext>
          </c:extLst>
        </c:ser>
        <c:ser>
          <c:idx val="3"/>
          <c:order val="3"/>
          <c:tx>
            <c:strRef>
              <c:f>'Pivot Tables'!$J$16:$J$17</c:f>
              <c:strCache>
                <c:ptCount val="1"/>
                <c:pt idx="0">
                  <c:v>Unknown</c:v>
                </c:pt>
              </c:strCache>
            </c:strRef>
          </c:tx>
          <c:spPr>
            <a:solidFill>
              <a:schemeClr val="accent4"/>
            </a:solidFill>
            <a:ln>
              <a:noFill/>
            </a:ln>
            <a:effectLst/>
          </c:spPr>
          <c:invertIfNegative val="0"/>
          <c:cat>
            <c:strRef>
              <c:f>'Pivot Tables'!$F$18:$F$38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Tables'!$J$18:$J$38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3-65B1-43CD-A6B4-85D65E319E22}"/>
            </c:ext>
          </c:extLst>
        </c:ser>
        <c:dLbls>
          <c:showLegendKey val="0"/>
          <c:showVal val="0"/>
          <c:showCatName val="0"/>
          <c:showSerName val="0"/>
          <c:showPercent val="0"/>
          <c:showBubbleSize val="0"/>
        </c:dLbls>
        <c:gapWidth val="50"/>
        <c:overlap val="100"/>
        <c:axId val="644841199"/>
        <c:axId val="2013627727"/>
      </c:barChart>
      <c:catAx>
        <c:axId val="6448411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27727"/>
        <c:crosses val="autoZero"/>
        <c:auto val="1"/>
        <c:lblAlgn val="ctr"/>
        <c:lblOffset val="100"/>
        <c:noMultiLvlLbl val="0"/>
      </c:catAx>
      <c:valAx>
        <c:axId val="201362772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Tables!PivotTable13</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Tables'!$G$41:$G$42</c:f>
              <c:strCache>
                <c:ptCount val="1"/>
                <c:pt idx="0">
                  <c:v>1</c:v>
                </c:pt>
              </c:strCache>
            </c:strRef>
          </c:tx>
          <c:spPr>
            <a:solidFill>
              <a:schemeClr val="accent1"/>
            </a:solidFill>
            <a:ln>
              <a:noFill/>
            </a:ln>
            <a:effectLst/>
          </c:spPr>
          <c:invertIfNegative val="0"/>
          <c:cat>
            <c:strRef>
              <c:f>'Pivot Tables'!$F$43:$F$46</c:f>
              <c:strCache>
                <c:ptCount val="3"/>
                <c:pt idx="0">
                  <c:v>Jan</c:v>
                </c:pt>
                <c:pt idx="1">
                  <c:v>Feb</c:v>
                </c:pt>
                <c:pt idx="2">
                  <c:v>Mar</c:v>
                </c:pt>
              </c:strCache>
            </c:strRef>
          </c:cat>
          <c:val>
            <c:numRef>
              <c:f>'Pivot Tables'!$G$43:$G$46</c:f>
              <c:numCache>
                <c:formatCode>General</c:formatCode>
                <c:ptCount val="3"/>
                <c:pt idx="0">
                  <c:v>7</c:v>
                </c:pt>
                <c:pt idx="1">
                  <c:v>8</c:v>
                </c:pt>
                <c:pt idx="2">
                  <c:v>6</c:v>
                </c:pt>
              </c:numCache>
            </c:numRef>
          </c:val>
          <c:extLst>
            <c:ext xmlns:c16="http://schemas.microsoft.com/office/drawing/2014/chart" uri="{C3380CC4-5D6E-409C-BE32-E72D297353CC}">
              <c16:uniqueId val="{00000000-E86C-4265-AC68-1020FABADCCC}"/>
            </c:ext>
          </c:extLst>
        </c:ser>
        <c:ser>
          <c:idx val="1"/>
          <c:order val="1"/>
          <c:tx>
            <c:strRef>
              <c:f>'Pivot Tables'!$H$41:$H$42</c:f>
              <c:strCache>
                <c:ptCount val="1"/>
                <c:pt idx="0">
                  <c:v>2</c:v>
                </c:pt>
              </c:strCache>
            </c:strRef>
          </c:tx>
          <c:spPr>
            <a:solidFill>
              <a:schemeClr val="accent2"/>
            </a:solidFill>
            <a:ln>
              <a:noFill/>
            </a:ln>
            <a:effectLst/>
          </c:spPr>
          <c:invertIfNegative val="0"/>
          <c:cat>
            <c:strRef>
              <c:f>'Pivot Tables'!$F$43:$F$46</c:f>
              <c:strCache>
                <c:ptCount val="3"/>
                <c:pt idx="0">
                  <c:v>Jan</c:v>
                </c:pt>
                <c:pt idx="1">
                  <c:v>Feb</c:v>
                </c:pt>
                <c:pt idx="2">
                  <c:v>Mar</c:v>
                </c:pt>
              </c:strCache>
            </c:strRef>
          </c:cat>
          <c:val>
            <c:numRef>
              <c:f>'Pivot Tables'!$H$43:$H$46</c:f>
              <c:numCache>
                <c:formatCode>General</c:formatCode>
                <c:ptCount val="3"/>
                <c:pt idx="0">
                  <c:v>37</c:v>
                </c:pt>
                <c:pt idx="1">
                  <c:v>51</c:v>
                </c:pt>
                <c:pt idx="2">
                  <c:v>39</c:v>
                </c:pt>
              </c:numCache>
            </c:numRef>
          </c:val>
          <c:extLst>
            <c:ext xmlns:c16="http://schemas.microsoft.com/office/drawing/2014/chart" uri="{C3380CC4-5D6E-409C-BE32-E72D297353CC}">
              <c16:uniqueId val="{00000001-E86C-4265-AC68-1020FABADCCC}"/>
            </c:ext>
          </c:extLst>
        </c:ser>
        <c:ser>
          <c:idx val="2"/>
          <c:order val="2"/>
          <c:tx>
            <c:strRef>
              <c:f>'Pivot Tables'!$I$41:$I$42</c:f>
              <c:strCache>
                <c:ptCount val="1"/>
                <c:pt idx="0">
                  <c:v>3</c:v>
                </c:pt>
              </c:strCache>
            </c:strRef>
          </c:tx>
          <c:spPr>
            <a:solidFill>
              <a:schemeClr val="accent3"/>
            </a:solidFill>
            <a:ln>
              <a:noFill/>
            </a:ln>
            <a:effectLst/>
          </c:spPr>
          <c:invertIfNegative val="0"/>
          <c:cat>
            <c:strRef>
              <c:f>'Pivot Tables'!$F$43:$F$46</c:f>
              <c:strCache>
                <c:ptCount val="3"/>
                <c:pt idx="0">
                  <c:v>Jan</c:v>
                </c:pt>
                <c:pt idx="1">
                  <c:v>Feb</c:v>
                </c:pt>
                <c:pt idx="2">
                  <c:v>Mar</c:v>
                </c:pt>
              </c:strCache>
            </c:strRef>
          </c:cat>
          <c:val>
            <c:numRef>
              <c:f>'Pivot Tables'!$I$43:$I$46</c:f>
              <c:numCache>
                <c:formatCode>General</c:formatCode>
                <c:ptCount val="3"/>
                <c:pt idx="0">
                  <c:v>150</c:v>
                </c:pt>
                <c:pt idx="1">
                  <c:v>182</c:v>
                </c:pt>
                <c:pt idx="2">
                  <c:v>163</c:v>
                </c:pt>
              </c:numCache>
            </c:numRef>
          </c:val>
          <c:extLst>
            <c:ext xmlns:c16="http://schemas.microsoft.com/office/drawing/2014/chart" uri="{C3380CC4-5D6E-409C-BE32-E72D297353CC}">
              <c16:uniqueId val="{00000002-E86C-4265-AC68-1020FABADCCC}"/>
            </c:ext>
          </c:extLst>
        </c:ser>
        <c:ser>
          <c:idx val="3"/>
          <c:order val="3"/>
          <c:tx>
            <c:strRef>
              <c:f>'Pivot Tables'!$J$41:$J$42</c:f>
              <c:strCache>
                <c:ptCount val="1"/>
                <c:pt idx="0">
                  <c:v>4</c:v>
                </c:pt>
              </c:strCache>
            </c:strRef>
          </c:tx>
          <c:spPr>
            <a:solidFill>
              <a:schemeClr val="accent4"/>
            </a:solidFill>
            <a:ln>
              <a:noFill/>
            </a:ln>
            <a:effectLst/>
          </c:spPr>
          <c:invertIfNegative val="0"/>
          <c:cat>
            <c:strRef>
              <c:f>'Pivot Tables'!$F$43:$F$46</c:f>
              <c:strCache>
                <c:ptCount val="3"/>
                <c:pt idx="0">
                  <c:v>Jan</c:v>
                </c:pt>
                <c:pt idx="1">
                  <c:v>Feb</c:v>
                </c:pt>
                <c:pt idx="2">
                  <c:v>Mar</c:v>
                </c:pt>
              </c:strCache>
            </c:strRef>
          </c:cat>
          <c:val>
            <c:numRef>
              <c:f>'Pivot Tables'!$J$43:$J$46</c:f>
              <c:numCache>
                <c:formatCode>General</c:formatCode>
                <c:ptCount val="3"/>
                <c:pt idx="0">
                  <c:v>312</c:v>
                </c:pt>
                <c:pt idx="1">
                  <c:v>373</c:v>
                </c:pt>
                <c:pt idx="2">
                  <c:v>351</c:v>
                </c:pt>
              </c:numCache>
            </c:numRef>
          </c:val>
          <c:extLst>
            <c:ext xmlns:c16="http://schemas.microsoft.com/office/drawing/2014/chart" uri="{C3380CC4-5D6E-409C-BE32-E72D297353CC}">
              <c16:uniqueId val="{00000006-E86C-4265-AC68-1020FABADCCC}"/>
            </c:ext>
          </c:extLst>
        </c:ser>
        <c:ser>
          <c:idx val="4"/>
          <c:order val="4"/>
          <c:tx>
            <c:strRef>
              <c:f>'Pivot Tables'!$K$41:$K$42</c:f>
              <c:strCache>
                <c:ptCount val="1"/>
                <c:pt idx="0">
                  <c:v>5</c:v>
                </c:pt>
              </c:strCache>
            </c:strRef>
          </c:tx>
          <c:spPr>
            <a:solidFill>
              <a:schemeClr val="accent5"/>
            </a:solidFill>
            <a:ln>
              <a:noFill/>
            </a:ln>
            <a:effectLst/>
          </c:spPr>
          <c:invertIfNegative val="0"/>
          <c:cat>
            <c:strRef>
              <c:f>'Pivot Tables'!$F$43:$F$46</c:f>
              <c:strCache>
                <c:ptCount val="3"/>
                <c:pt idx="0">
                  <c:v>Jan</c:v>
                </c:pt>
                <c:pt idx="1">
                  <c:v>Feb</c:v>
                </c:pt>
                <c:pt idx="2">
                  <c:v>Mar</c:v>
                </c:pt>
              </c:strCache>
            </c:strRef>
          </c:cat>
          <c:val>
            <c:numRef>
              <c:f>'Pivot Tables'!$K$43:$K$46</c:f>
              <c:numCache>
                <c:formatCode>General</c:formatCode>
                <c:ptCount val="3"/>
                <c:pt idx="0">
                  <c:v>224</c:v>
                </c:pt>
                <c:pt idx="1">
                  <c:v>247</c:v>
                </c:pt>
                <c:pt idx="2">
                  <c:v>250</c:v>
                </c:pt>
              </c:numCache>
            </c:numRef>
          </c:val>
          <c:extLst>
            <c:ext xmlns:c16="http://schemas.microsoft.com/office/drawing/2014/chart" uri="{C3380CC4-5D6E-409C-BE32-E72D297353CC}">
              <c16:uniqueId val="{0000000C-E86C-4265-AC68-1020FABADCCC}"/>
            </c:ext>
          </c:extLst>
        </c:ser>
        <c:dLbls>
          <c:showLegendKey val="0"/>
          <c:showVal val="0"/>
          <c:showCatName val="0"/>
          <c:showSerName val="0"/>
          <c:showPercent val="0"/>
          <c:showBubbleSize val="0"/>
        </c:dLbls>
        <c:gapWidth val="219"/>
        <c:overlap val="-27"/>
        <c:axId val="440394735"/>
        <c:axId val="2013705487"/>
      </c:barChart>
      <c:catAx>
        <c:axId val="4403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05487"/>
        <c:crosses val="autoZero"/>
        <c:auto val="1"/>
        <c:lblAlgn val="ctr"/>
        <c:lblOffset val="100"/>
        <c:noMultiLvlLbl val="0"/>
      </c:catAx>
      <c:valAx>
        <c:axId val="201370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94735"/>
        <c:crosses val="autoZero"/>
        <c:crossBetween val="between"/>
      </c:valAx>
      <c:spPr>
        <a:noFill/>
        <a:ln>
          <a:noFill/>
        </a:ln>
        <a:effectLst/>
      </c:spPr>
    </c:plotArea>
    <c:legend>
      <c:legendPos val="t"/>
      <c:overlay val="0"/>
      <c:spPr>
        <a:noFill/>
        <a:ln>
          <a:noFill/>
        </a:ln>
        <a:effectLst>
          <a:glow rad="101600">
            <a:schemeClr val="accent3">
              <a:satMod val="175000"/>
              <a:alpha val="40000"/>
            </a:schemeClr>
          </a:glo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8761132919675"/>
          <c:y val="4.5770997375328082E-2"/>
          <c:w val="0.87764129483814524"/>
          <c:h val="0.84204505686789155"/>
        </c:manualLayout>
      </c:layout>
      <c:barChart>
        <c:barDir val="col"/>
        <c:grouping val="clustered"/>
        <c:varyColors val="0"/>
        <c:ser>
          <c:idx val="0"/>
          <c:order val="0"/>
          <c:tx>
            <c:strRef>
              <c:f>'Pivot Tables'!$C$52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Tables'!$B$53:$B$68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Tables'!$C$53:$C$68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353-4A19-8CFA-398D90C57CC9}"/>
            </c:ext>
          </c:extLst>
        </c:ser>
        <c:dLbls>
          <c:showLegendKey val="0"/>
          <c:showVal val="0"/>
          <c:showCatName val="0"/>
          <c:showSerName val="0"/>
          <c:showPercent val="0"/>
          <c:showBubbleSize val="0"/>
        </c:dLbls>
        <c:gapWidth val="150"/>
        <c:axId val="774627583"/>
        <c:axId val="2013644527"/>
      </c:barChart>
      <c:catAx>
        <c:axId val="77462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44527"/>
        <c:crosses val="autoZero"/>
        <c:auto val="1"/>
        <c:lblAlgn val="ctr"/>
        <c:lblOffset val="100"/>
        <c:noMultiLvlLbl val="0"/>
      </c:catAx>
      <c:valAx>
        <c:axId val="2013644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27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Mode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B88F45-189B-46F5-88C6-CE0C04405475}" type="CATEGORYNAME">
                  <a:rPr lang="en-US">
                    <a:solidFill>
                      <a:schemeClr val="bg1"/>
                    </a:solidFill>
                  </a:rPr>
                  <a:pPr>
                    <a:defRPr/>
                  </a:pPr>
                  <a:t>[CATEGORY NAME]</a:t>
                </a:fld>
                <a:r>
                  <a:rPr lang="en-US" baseline="0"/>
                  <a:t>, </a:t>
                </a:r>
                <a:fld id="{B0754AFB-7AEB-4B41-A409-9FFFC66099FD}"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11111111111111E-2"/>
          <c:y val="0.23125204893789381"/>
          <c:w val="0.96888888888888891"/>
          <c:h val="0.68158985840089359"/>
        </c:manualLayout>
      </c:layout>
      <c:pie3DChart>
        <c:varyColors val="1"/>
        <c:ser>
          <c:idx val="0"/>
          <c:order val="0"/>
          <c:tx>
            <c:strRef>
              <c:f>'Pivot Tables'!$C$44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41-45CA-B6F8-B850BE1ED8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41-45CA-B6F8-B850BE1ED8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41-45CA-B6F8-B850BE1ED89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141-45CA-B6F8-B850BE1ED89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41-45CA-B6F8-B850BE1ED890}"/>
              </c:ext>
            </c:extLst>
          </c:dPt>
          <c:dLbls>
            <c:dLbl>
              <c:idx val="3"/>
              <c:tx>
                <c:rich>
                  <a:bodyPr/>
                  <a:lstStyle/>
                  <a:p>
                    <a:fld id="{3BB88F45-189B-46F5-88C6-CE0C04405475}" type="CATEGORYNAME">
                      <a:rPr lang="en-US">
                        <a:solidFill>
                          <a:schemeClr val="bg1"/>
                        </a:solidFill>
                      </a:rPr>
                      <a:pPr/>
                      <a:t>[CATEGORY NAME]</a:t>
                    </a:fld>
                    <a:r>
                      <a:rPr lang="en-US" baseline="0"/>
                      <a:t>, </a:t>
                    </a:r>
                    <a:fld id="{B0754AFB-7AEB-4B41-A409-9FFFC66099F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141-45CA-B6F8-B850BE1ED8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Tables'!$B$45:$B$50</c:f>
              <c:strCache>
                <c:ptCount val="5"/>
                <c:pt idx="0">
                  <c:v>App</c:v>
                </c:pt>
                <c:pt idx="1">
                  <c:v>Instagram</c:v>
                </c:pt>
                <c:pt idx="2">
                  <c:v>Partner App</c:v>
                </c:pt>
                <c:pt idx="3">
                  <c:v>Target.com</c:v>
                </c:pt>
                <c:pt idx="4">
                  <c:v>Website</c:v>
                </c:pt>
              </c:strCache>
            </c:strRef>
          </c:cat>
          <c:val>
            <c:numRef>
              <c:f>'Pivot Tables'!$C$45:$C$50</c:f>
              <c:numCache>
                <c:formatCode>General</c:formatCode>
                <c:ptCount val="5"/>
                <c:pt idx="0">
                  <c:v>4220</c:v>
                </c:pt>
                <c:pt idx="1">
                  <c:v>1415</c:v>
                </c:pt>
                <c:pt idx="2">
                  <c:v>1388</c:v>
                </c:pt>
                <c:pt idx="3">
                  <c:v>2308</c:v>
                </c:pt>
                <c:pt idx="4">
                  <c:v>2666</c:v>
                </c:pt>
              </c:numCache>
            </c:numRef>
          </c:val>
          <c:extLst>
            <c:ext xmlns:c16="http://schemas.microsoft.com/office/drawing/2014/chart" uri="{C3380CC4-5D6E-409C-BE32-E72D297353CC}">
              <c16:uniqueId val="{0000000A-E141-45CA-B6F8-B850BE1ED89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7</xdr:col>
      <xdr:colOff>324130</xdr:colOff>
      <xdr:row>4</xdr:row>
      <xdr:rowOff>76322</xdr:rowOff>
    </xdr:to>
    <xdr:pic>
      <xdr:nvPicPr>
        <xdr:cNvPr id="2" name="Picture 1">
          <a:extLst>
            <a:ext uri="{FF2B5EF4-FFF2-40B4-BE49-F238E27FC236}">
              <a16:creationId xmlns:a16="http://schemas.microsoft.com/office/drawing/2014/main" id="{4F287EA9-A1DA-4C41-AC28-5EB526664B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591175" y="381000"/>
          <a:ext cx="1543330" cy="4573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27</xdr:row>
      <xdr:rowOff>0</xdr:rowOff>
    </xdr:to>
    <xdr:sp macro="" textlink="">
      <xdr:nvSpPr>
        <xdr:cNvPr id="2" name="Rectangle 1">
          <a:extLst>
            <a:ext uri="{FF2B5EF4-FFF2-40B4-BE49-F238E27FC236}">
              <a16:creationId xmlns:a16="http://schemas.microsoft.com/office/drawing/2014/main" id="{E9D7949C-78B4-5A49-04D6-635DF1357379}"/>
            </a:ext>
          </a:extLst>
        </xdr:cNvPr>
        <xdr:cNvSpPr/>
      </xdr:nvSpPr>
      <xdr:spPr>
        <a:xfrm>
          <a:off x="0" y="0"/>
          <a:ext cx="1821656" cy="514350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485776</xdr:colOff>
      <xdr:row>0</xdr:row>
      <xdr:rowOff>47625</xdr:rowOff>
    </xdr:from>
    <xdr:to>
      <xdr:col>27</xdr:col>
      <xdr:colOff>0</xdr:colOff>
      <xdr:row>27</xdr:row>
      <xdr:rowOff>47625</xdr:rowOff>
    </xdr:to>
    <xdr:sp macro="" textlink="">
      <xdr:nvSpPr>
        <xdr:cNvPr id="3" name="Rectangle 2">
          <a:extLst>
            <a:ext uri="{FF2B5EF4-FFF2-40B4-BE49-F238E27FC236}">
              <a16:creationId xmlns:a16="http://schemas.microsoft.com/office/drawing/2014/main" id="{C7A12ED2-C4C6-4B66-826E-D648BA0FB864}"/>
            </a:ext>
          </a:extLst>
        </xdr:cNvPr>
        <xdr:cNvSpPr/>
      </xdr:nvSpPr>
      <xdr:spPr>
        <a:xfrm>
          <a:off x="1700214" y="47625"/>
          <a:ext cx="14099380" cy="51435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202406</xdr:colOff>
      <xdr:row>1</xdr:row>
      <xdr:rowOff>0</xdr:rowOff>
    </xdr:from>
    <xdr:to>
      <xdr:col>7</xdr:col>
      <xdr:colOff>202406</xdr:colOff>
      <xdr:row>4</xdr:row>
      <xdr:rowOff>95250</xdr:rowOff>
    </xdr:to>
    <xdr:grpSp>
      <xdr:nvGrpSpPr>
        <xdr:cNvPr id="7" name="Group 6">
          <a:extLst>
            <a:ext uri="{FF2B5EF4-FFF2-40B4-BE49-F238E27FC236}">
              <a16:creationId xmlns:a16="http://schemas.microsoft.com/office/drawing/2014/main" id="{338A2633-4941-0F75-B0C7-594B0415AF1E}"/>
            </a:ext>
          </a:extLst>
        </xdr:cNvPr>
        <xdr:cNvGrpSpPr/>
      </xdr:nvGrpSpPr>
      <xdr:grpSpPr>
        <a:xfrm>
          <a:off x="2024062" y="190500"/>
          <a:ext cx="2428875" cy="666750"/>
          <a:chOff x="2202657" y="190500"/>
          <a:chExt cx="2428875" cy="666750"/>
        </a:xfrm>
      </xdr:grpSpPr>
      <xdr:sp macro="" textlink="">
        <xdr:nvSpPr>
          <xdr:cNvPr id="4" name="Rectangle: Rounded Corners 3">
            <a:extLst>
              <a:ext uri="{FF2B5EF4-FFF2-40B4-BE49-F238E27FC236}">
                <a16:creationId xmlns:a16="http://schemas.microsoft.com/office/drawing/2014/main" id="{610E15FF-E9F5-AAB7-4DAD-9B662A0826A7}"/>
              </a:ext>
            </a:extLst>
          </xdr:cNvPr>
          <xdr:cNvSpPr/>
        </xdr:nvSpPr>
        <xdr:spPr>
          <a:xfrm>
            <a:off x="2202657" y="190500"/>
            <a:ext cx="2428875" cy="666750"/>
          </a:xfrm>
          <a:prstGeom prst="roundRect">
            <a:avLst/>
          </a:prstGeom>
          <a:ln/>
          <a:effectLst>
            <a:glow rad="101600">
              <a:schemeClr val="accent2">
                <a:satMod val="175000"/>
                <a:alpha val="40000"/>
              </a:schemeClr>
            </a:glow>
            <a:reflection blurRad="6350" stA="50000" endA="300" endPos="90000" dir="5400000" sy="-100000" algn="bl" rotWithShape="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H4">
        <xdr:nvSpPr>
          <xdr:cNvPr id="5" name="Rectangle 4">
            <a:extLst>
              <a:ext uri="{FF2B5EF4-FFF2-40B4-BE49-F238E27FC236}">
                <a16:creationId xmlns:a16="http://schemas.microsoft.com/office/drawing/2014/main" id="{7B333066-CE3B-1468-471F-12D574D00971}"/>
              </a:ext>
            </a:extLst>
          </xdr:cNvPr>
          <xdr:cNvSpPr/>
        </xdr:nvSpPr>
        <xdr:spPr>
          <a:xfrm>
            <a:off x="2833688" y="476251"/>
            <a:ext cx="1214437"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92C4B1-6BBD-41BC-90DC-DBF7233C3631}" type="TxLink">
              <a:rPr lang="en-US" sz="1400" b="1" i="0" u="none" strike="noStrike">
                <a:solidFill>
                  <a:srgbClr val="000000"/>
                </a:solidFill>
                <a:latin typeface="Aptos Narrow"/>
              </a:rPr>
              <a:pPr algn="ctr"/>
              <a:t>2,400</a:t>
            </a:fld>
            <a:endParaRPr lang="en-IN" sz="1400" b="1"/>
          </a:p>
        </xdr:txBody>
      </xdr:sp>
      <xdr:sp macro="" textlink="">
        <xdr:nvSpPr>
          <xdr:cNvPr id="6" name="TextBox 5">
            <a:extLst>
              <a:ext uri="{FF2B5EF4-FFF2-40B4-BE49-F238E27FC236}">
                <a16:creationId xmlns:a16="http://schemas.microsoft.com/office/drawing/2014/main" id="{E650FE8B-27A3-5A1F-644D-043D55584108}"/>
              </a:ext>
            </a:extLst>
          </xdr:cNvPr>
          <xdr:cNvSpPr txBox="1"/>
        </xdr:nvSpPr>
        <xdr:spPr>
          <a:xfrm>
            <a:off x="3036094" y="214313"/>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mn-lt"/>
              </a:rPr>
              <a:t>🛒</a:t>
            </a:r>
            <a:r>
              <a:rPr lang="en-IN" sz="1400">
                <a:latin typeface="+mn-lt"/>
              </a:rPr>
              <a:t>Orders</a:t>
            </a:r>
          </a:p>
        </xdr:txBody>
      </xdr:sp>
    </xdr:grpSp>
    <xdr:clientData/>
  </xdr:twoCellAnchor>
  <xdr:twoCellAnchor>
    <xdr:from>
      <xdr:col>7</xdr:col>
      <xdr:colOff>488156</xdr:colOff>
      <xdr:row>1</xdr:row>
      <xdr:rowOff>0</xdr:rowOff>
    </xdr:from>
    <xdr:to>
      <xdr:col>11</xdr:col>
      <xdr:colOff>488156</xdr:colOff>
      <xdr:row>4</xdr:row>
      <xdr:rowOff>95250</xdr:rowOff>
    </xdr:to>
    <xdr:grpSp>
      <xdr:nvGrpSpPr>
        <xdr:cNvPr id="8" name="Group 7">
          <a:extLst>
            <a:ext uri="{FF2B5EF4-FFF2-40B4-BE49-F238E27FC236}">
              <a16:creationId xmlns:a16="http://schemas.microsoft.com/office/drawing/2014/main" id="{03089334-ECD4-A53D-1179-19B6C43923C0}"/>
            </a:ext>
          </a:extLst>
        </xdr:cNvPr>
        <xdr:cNvGrpSpPr/>
      </xdr:nvGrpSpPr>
      <xdr:grpSpPr>
        <a:xfrm>
          <a:off x="4738687" y="190500"/>
          <a:ext cx="2428875" cy="666750"/>
          <a:chOff x="2202657" y="190500"/>
          <a:chExt cx="2428875" cy="666750"/>
        </a:xfrm>
      </xdr:grpSpPr>
      <xdr:sp macro="" textlink="">
        <xdr:nvSpPr>
          <xdr:cNvPr id="9" name="Rectangle: Rounded Corners 8">
            <a:extLst>
              <a:ext uri="{FF2B5EF4-FFF2-40B4-BE49-F238E27FC236}">
                <a16:creationId xmlns:a16="http://schemas.microsoft.com/office/drawing/2014/main" id="{7A65D968-AEAB-DC03-7134-EEB804398F69}"/>
              </a:ext>
            </a:extLst>
          </xdr:cNvPr>
          <xdr:cNvSpPr/>
        </xdr:nvSpPr>
        <xdr:spPr>
          <a:xfrm>
            <a:off x="2202657" y="190500"/>
            <a:ext cx="2428875" cy="666750"/>
          </a:xfrm>
          <a:prstGeom prst="roundRect">
            <a:avLst/>
          </a:prstGeom>
          <a:ln/>
          <a:effectLst>
            <a:glow rad="101600">
              <a:schemeClr val="accent2">
                <a:satMod val="175000"/>
                <a:alpha val="40000"/>
              </a:schemeClr>
            </a:glow>
            <a:reflection blurRad="6350" stA="50000" endA="300" endPos="90000" dir="5400000" sy="-100000" algn="bl" rotWithShape="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I4">
        <xdr:nvSpPr>
          <xdr:cNvPr id="10" name="Rectangle 9">
            <a:extLst>
              <a:ext uri="{FF2B5EF4-FFF2-40B4-BE49-F238E27FC236}">
                <a16:creationId xmlns:a16="http://schemas.microsoft.com/office/drawing/2014/main" id="{BC77E0E8-B744-25E7-2347-03E617A83DFF}"/>
              </a:ext>
            </a:extLst>
          </xdr:cNvPr>
          <xdr:cNvSpPr/>
        </xdr:nvSpPr>
        <xdr:spPr>
          <a:xfrm>
            <a:off x="2833688" y="476251"/>
            <a:ext cx="1214437"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48979B2-B4AC-4029-B715-C8EE166E0E61}" type="TxLink">
              <a:rPr lang="en-US" sz="1400" b="1" i="0" u="none" strike="noStrike">
                <a:solidFill>
                  <a:srgbClr val="000000"/>
                </a:solidFill>
                <a:latin typeface="Aptos Narrow"/>
              </a:rPr>
              <a:t>11,997</a:t>
            </a:fld>
            <a:endParaRPr lang="en-IN" sz="1400" b="1"/>
          </a:p>
        </xdr:txBody>
      </xdr:sp>
      <xdr:sp macro="" textlink="">
        <xdr:nvSpPr>
          <xdr:cNvPr id="11" name="TextBox 10">
            <a:extLst>
              <a:ext uri="{FF2B5EF4-FFF2-40B4-BE49-F238E27FC236}">
                <a16:creationId xmlns:a16="http://schemas.microsoft.com/office/drawing/2014/main" id="{30C21B6F-36FE-9DCD-807A-02E601A56D18}"/>
              </a:ext>
            </a:extLst>
          </xdr:cNvPr>
          <xdr:cNvSpPr txBox="1"/>
        </xdr:nvSpPr>
        <xdr:spPr>
          <a:xfrm>
            <a:off x="2928939" y="202406"/>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n-lt"/>
              </a:rPr>
              <a:t>👕Quantity</a:t>
            </a:r>
          </a:p>
        </xdr:txBody>
      </xdr:sp>
    </xdr:grpSp>
    <xdr:clientData/>
  </xdr:twoCellAnchor>
  <xdr:twoCellAnchor>
    <xdr:from>
      <xdr:col>12</xdr:col>
      <xdr:colOff>166687</xdr:colOff>
      <xdr:row>1</xdr:row>
      <xdr:rowOff>23813</xdr:rowOff>
    </xdr:from>
    <xdr:to>
      <xdr:col>16</xdr:col>
      <xdr:colOff>166687</xdr:colOff>
      <xdr:row>4</xdr:row>
      <xdr:rowOff>119063</xdr:rowOff>
    </xdr:to>
    <xdr:grpSp>
      <xdr:nvGrpSpPr>
        <xdr:cNvPr id="12" name="Group 11">
          <a:extLst>
            <a:ext uri="{FF2B5EF4-FFF2-40B4-BE49-F238E27FC236}">
              <a16:creationId xmlns:a16="http://schemas.microsoft.com/office/drawing/2014/main" id="{034E9EC7-8806-070E-DFAF-BC837FA3C68F}"/>
            </a:ext>
          </a:extLst>
        </xdr:cNvPr>
        <xdr:cNvGrpSpPr/>
      </xdr:nvGrpSpPr>
      <xdr:grpSpPr>
        <a:xfrm>
          <a:off x="7453312" y="214313"/>
          <a:ext cx="2428875" cy="666750"/>
          <a:chOff x="2202657" y="190500"/>
          <a:chExt cx="2428875" cy="666750"/>
        </a:xfrm>
      </xdr:grpSpPr>
      <xdr:sp macro="" textlink="">
        <xdr:nvSpPr>
          <xdr:cNvPr id="13" name="Rectangle: Rounded Corners 12">
            <a:extLst>
              <a:ext uri="{FF2B5EF4-FFF2-40B4-BE49-F238E27FC236}">
                <a16:creationId xmlns:a16="http://schemas.microsoft.com/office/drawing/2014/main" id="{8317E3F4-A2B0-9B0C-6A65-0309364A47AA}"/>
              </a:ext>
            </a:extLst>
          </xdr:cNvPr>
          <xdr:cNvSpPr/>
        </xdr:nvSpPr>
        <xdr:spPr>
          <a:xfrm>
            <a:off x="2202657" y="190500"/>
            <a:ext cx="2428875" cy="666750"/>
          </a:xfrm>
          <a:prstGeom prst="roundRect">
            <a:avLst/>
          </a:prstGeom>
          <a:ln/>
          <a:effectLst>
            <a:glow rad="101600">
              <a:schemeClr val="accent2">
                <a:satMod val="175000"/>
                <a:alpha val="40000"/>
              </a:schemeClr>
            </a:glow>
            <a:reflection blurRad="6350" stA="50000" endA="300" endPos="90000" dir="5400000" sy="-100000" algn="bl" rotWithShape="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J4">
        <xdr:nvSpPr>
          <xdr:cNvPr id="14" name="Rectangle 13">
            <a:extLst>
              <a:ext uri="{FF2B5EF4-FFF2-40B4-BE49-F238E27FC236}">
                <a16:creationId xmlns:a16="http://schemas.microsoft.com/office/drawing/2014/main" id="{B18B5899-37D2-5DED-785C-EC9178185DD7}"/>
              </a:ext>
            </a:extLst>
          </xdr:cNvPr>
          <xdr:cNvSpPr/>
        </xdr:nvSpPr>
        <xdr:spPr>
          <a:xfrm>
            <a:off x="2833688" y="476251"/>
            <a:ext cx="1214437"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C8E001-A2C8-429E-8379-969E74D0EFD2}" type="TxLink">
              <a:rPr lang="en-US" sz="1400" b="1" i="0" u="none" strike="noStrike">
                <a:solidFill>
                  <a:srgbClr val="000000"/>
                </a:solidFill>
                <a:latin typeface="Aptos Narrow"/>
              </a:rPr>
              <a:t>$649.0k</a:t>
            </a:fld>
            <a:endParaRPr lang="en-IN" sz="1400" b="1"/>
          </a:p>
        </xdr:txBody>
      </xdr:sp>
      <xdr:sp macro="" textlink="">
        <xdr:nvSpPr>
          <xdr:cNvPr id="15" name="TextBox 14">
            <a:extLst>
              <a:ext uri="{FF2B5EF4-FFF2-40B4-BE49-F238E27FC236}">
                <a16:creationId xmlns:a16="http://schemas.microsoft.com/office/drawing/2014/main" id="{764ACFAA-41CC-8B3C-6ABE-1A743D24675A}"/>
              </a:ext>
            </a:extLst>
          </xdr:cNvPr>
          <xdr:cNvSpPr txBox="1"/>
        </xdr:nvSpPr>
        <xdr:spPr>
          <a:xfrm>
            <a:off x="2821783" y="190500"/>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mn-lt"/>
              </a:rPr>
              <a:t>💰Amount</a:t>
            </a:r>
          </a:p>
        </xdr:txBody>
      </xdr:sp>
    </xdr:grpSp>
    <xdr:clientData/>
  </xdr:twoCellAnchor>
  <xdr:twoCellAnchor>
    <xdr:from>
      <xdr:col>16</xdr:col>
      <xdr:colOff>452437</xdr:colOff>
      <xdr:row>1</xdr:row>
      <xdr:rowOff>0</xdr:rowOff>
    </xdr:from>
    <xdr:to>
      <xdr:col>20</xdr:col>
      <xdr:colOff>452437</xdr:colOff>
      <xdr:row>4</xdr:row>
      <xdr:rowOff>95250</xdr:rowOff>
    </xdr:to>
    <xdr:grpSp>
      <xdr:nvGrpSpPr>
        <xdr:cNvPr id="16" name="Group 15">
          <a:extLst>
            <a:ext uri="{FF2B5EF4-FFF2-40B4-BE49-F238E27FC236}">
              <a16:creationId xmlns:a16="http://schemas.microsoft.com/office/drawing/2014/main" id="{EA59D119-DA22-E33A-FE70-951CE3894C6B}"/>
            </a:ext>
          </a:extLst>
        </xdr:cNvPr>
        <xdr:cNvGrpSpPr/>
      </xdr:nvGrpSpPr>
      <xdr:grpSpPr>
        <a:xfrm>
          <a:off x="10167937" y="190500"/>
          <a:ext cx="2428875" cy="666750"/>
          <a:chOff x="2202657" y="190500"/>
          <a:chExt cx="2428875" cy="666750"/>
        </a:xfrm>
      </xdr:grpSpPr>
      <xdr:sp macro="" textlink="">
        <xdr:nvSpPr>
          <xdr:cNvPr id="17" name="Rectangle: Rounded Corners 16">
            <a:extLst>
              <a:ext uri="{FF2B5EF4-FFF2-40B4-BE49-F238E27FC236}">
                <a16:creationId xmlns:a16="http://schemas.microsoft.com/office/drawing/2014/main" id="{A1E9B25C-2A6B-319A-710A-3E1F3C53111D}"/>
              </a:ext>
            </a:extLst>
          </xdr:cNvPr>
          <xdr:cNvSpPr/>
        </xdr:nvSpPr>
        <xdr:spPr>
          <a:xfrm>
            <a:off x="2202657" y="190500"/>
            <a:ext cx="2428875" cy="666750"/>
          </a:xfrm>
          <a:prstGeom prst="roundRect">
            <a:avLst/>
          </a:prstGeom>
          <a:ln/>
          <a:effectLst>
            <a:glow rad="101600">
              <a:schemeClr val="accent2">
                <a:satMod val="175000"/>
                <a:alpha val="40000"/>
              </a:schemeClr>
            </a:glow>
            <a:reflection blurRad="6350" stA="50000" endA="300" endPos="90000" dir="5400000" sy="-100000" algn="bl" rotWithShape="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K4">
        <xdr:nvSpPr>
          <xdr:cNvPr id="18" name="Rectangle 17">
            <a:extLst>
              <a:ext uri="{FF2B5EF4-FFF2-40B4-BE49-F238E27FC236}">
                <a16:creationId xmlns:a16="http://schemas.microsoft.com/office/drawing/2014/main" id="{83977DD3-5E3D-9B18-E071-23B080C960A2}"/>
              </a:ext>
            </a:extLst>
          </xdr:cNvPr>
          <xdr:cNvSpPr/>
        </xdr:nvSpPr>
        <xdr:spPr>
          <a:xfrm>
            <a:off x="2964658" y="464344"/>
            <a:ext cx="1214437"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03B959-4923-4DCE-A972-49AB3A5F0BCD}" type="TxLink">
              <a:rPr lang="en-US" sz="1400" b="1" i="0" u="none" strike="noStrike">
                <a:solidFill>
                  <a:srgbClr val="000000"/>
                </a:solidFill>
                <a:latin typeface="Aptos Narrow"/>
              </a:rPr>
              <a:t>4.0</a:t>
            </a:fld>
            <a:endParaRPr lang="en-IN" sz="1400" b="1"/>
          </a:p>
        </xdr:txBody>
      </xdr:sp>
      <xdr:sp macro="" textlink="">
        <xdr:nvSpPr>
          <xdr:cNvPr id="19" name="TextBox 18">
            <a:extLst>
              <a:ext uri="{FF2B5EF4-FFF2-40B4-BE49-F238E27FC236}">
                <a16:creationId xmlns:a16="http://schemas.microsoft.com/office/drawing/2014/main" id="{187E04F1-5A1D-C3C1-6364-618F42318F18}"/>
              </a:ext>
            </a:extLst>
          </xdr:cNvPr>
          <xdr:cNvSpPr txBox="1"/>
        </xdr:nvSpPr>
        <xdr:spPr>
          <a:xfrm>
            <a:off x="3036094" y="214313"/>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n-lt"/>
              </a:rPr>
              <a:t>⭐ Avg Rating</a:t>
            </a:r>
          </a:p>
        </xdr:txBody>
      </xdr:sp>
    </xdr:grpSp>
    <xdr:clientData/>
  </xdr:twoCellAnchor>
  <xdr:twoCellAnchor>
    <xdr:from>
      <xdr:col>21</xdr:col>
      <xdr:colOff>130969</xdr:colOff>
      <xdr:row>1</xdr:row>
      <xdr:rowOff>0</xdr:rowOff>
    </xdr:from>
    <xdr:to>
      <xdr:col>25</xdr:col>
      <xdr:colOff>130969</xdr:colOff>
      <xdr:row>4</xdr:row>
      <xdr:rowOff>95250</xdr:rowOff>
    </xdr:to>
    <xdr:grpSp>
      <xdr:nvGrpSpPr>
        <xdr:cNvPr id="20" name="Group 19">
          <a:extLst>
            <a:ext uri="{FF2B5EF4-FFF2-40B4-BE49-F238E27FC236}">
              <a16:creationId xmlns:a16="http://schemas.microsoft.com/office/drawing/2014/main" id="{0F9426DA-0466-406D-5AEF-E5DE9FEF74EE}"/>
            </a:ext>
          </a:extLst>
        </xdr:cNvPr>
        <xdr:cNvGrpSpPr/>
      </xdr:nvGrpSpPr>
      <xdr:grpSpPr>
        <a:xfrm>
          <a:off x="12882563" y="190500"/>
          <a:ext cx="2428875" cy="666750"/>
          <a:chOff x="2202657" y="190500"/>
          <a:chExt cx="2428875" cy="666750"/>
        </a:xfrm>
      </xdr:grpSpPr>
      <xdr:sp macro="" textlink="">
        <xdr:nvSpPr>
          <xdr:cNvPr id="21" name="Rectangle: Rounded Corners 20">
            <a:extLst>
              <a:ext uri="{FF2B5EF4-FFF2-40B4-BE49-F238E27FC236}">
                <a16:creationId xmlns:a16="http://schemas.microsoft.com/office/drawing/2014/main" id="{6851C15A-F1D0-5456-EF17-EE9B8690093E}"/>
              </a:ext>
            </a:extLst>
          </xdr:cNvPr>
          <xdr:cNvSpPr/>
        </xdr:nvSpPr>
        <xdr:spPr>
          <a:xfrm>
            <a:off x="2202657" y="190500"/>
            <a:ext cx="2428875" cy="666750"/>
          </a:xfrm>
          <a:prstGeom prst="roundRect">
            <a:avLst/>
          </a:prstGeom>
          <a:ln/>
          <a:effectLst>
            <a:glow rad="101600">
              <a:schemeClr val="accent2">
                <a:satMod val="175000"/>
                <a:alpha val="40000"/>
              </a:schemeClr>
            </a:glow>
            <a:reflection blurRad="6350" stA="50000" endA="300" endPos="90000" dir="5400000" sy="-100000" algn="bl" rotWithShape="0"/>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L4">
        <xdr:nvSpPr>
          <xdr:cNvPr id="22" name="Rectangle 21">
            <a:extLst>
              <a:ext uri="{FF2B5EF4-FFF2-40B4-BE49-F238E27FC236}">
                <a16:creationId xmlns:a16="http://schemas.microsoft.com/office/drawing/2014/main" id="{7ABF1E68-7CA0-6537-EE94-5ADB5937BB6A}"/>
              </a:ext>
            </a:extLst>
          </xdr:cNvPr>
          <xdr:cNvSpPr/>
        </xdr:nvSpPr>
        <xdr:spPr>
          <a:xfrm>
            <a:off x="2833688" y="476251"/>
            <a:ext cx="1214437"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D4878D-11BE-40F9-97FB-8EA4E0F595D6}" type="TxLink">
              <a:rPr lang="en-US" sz="1400" b="1" i="0" u="none" strike="noStrike">
                <a:solidFill>
                  <a:srgbClr val="000000"/>
                </a:solidFill>
                <a:latin typeface="Aptos Narrow"/>
              </a:rPr>
              <a:t>2.3</a:t>
            </a:fld>
            <a:endParaRPr lang="en-IN" sz="1400" b="1"/>
          </a:p>
        </xdr:txBody>
      </xdr:sp>
      <xdr:sp macro="" textlink="">
        <xdr:nvSpPr>
          <xdr:cNvPr id="23" name="TextBox 22">
            <a:extLst>
              <a:ext uri="{FF2B5EF4-FFF2-40B4-BE49-F238E27FC236}">
                <a16:creationId xmlns:a16="http://schemas.microsoft.com/office/drawing/2014/main" id="{04143020-792A-6343-F052-5B80594641C1}"/>
              </a:ext>
            </a:extLst>
          </xdr:cNvPr>
          <xdr:cNvSpPr txBox="1"/>
        </xdr:nvSpPr>
        <xdr:spPr>
          <a:xfrm>
            <a:off x="3036094" y="214313"/>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mn-lt"/>
              </a:rPr>
              <a:t>📆 Avg Days</a:t>
            </a:r>
          </a:p>
        </xdr:txBody>
      </xdr:sp>
    </xdr:grpSp>
    <xdr:clientData/>
  </xdr:twoCellAnchor>
  <xdr:twoCellAnchor>
    <xdr:from>
      <xdr:col>3</xdr:col>
      <xdr:colOff>285750</xdr:colOff>
      <xdr:row>6</xdr:row>
      <xdr:rowOff>0</xdr:rowOff>
    </xdr:from>
    <xdr:to>
      <xdr:col>11</xdr:col>
      <xdr:colOff>0</xdr:colOff>
      <xdr:row>16</xdr:row>
      <xdr:rowOff>0</xdr:rowOff>
    </xdr:to>
    <xdr:graphicFrame macro="">
      <xdr:nvGraphicFramePr>
        <xdr:cNvPr id="27" name="Chart 26">
          <a:extLst>
            <a:ext uri="{FF2B5EF4-FFF2-40B4-BE49-F238E27FC236}">
              <a16:creationId xmlns:a16="http://schemas.microsoft.com/office/drawing/2014/main" id="{6AEFCFD5-35D0-46FF-9EB3-377993522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357189</xdr:colOff>
      <xdr:row>17</xdr:row>
      <xdr:rowOff>0</xdr:rowOff>
    </xdr:from>
    <xdr:to>
      <xdr:col>10</xdr:col>
      <xdr:colOff>0</xdr:colOff>
      <xdr:row>26</xdr:row>
      <xdr:rowOff>0</xdr:rowOff>
    </xdr:to>
    <xdr:sp macro="" textlink="">
      <xdr:nvSpPr>
        <xdr:cNvPr id="31" name="Rectangle 30">
          <a:extLst>
            <a:ext uri="{FF2B5EF4-FFF2-40B4-BE49-F238E27FC236}">
              <a16:creationId xmlns:a16="http://schemas.microsoft.com/office/drawing/2014/main" id="{A23E7A6D-BD08-0654-379A-F6EBAC73A19B}"/>
            </a:ext>
          </a:extLst>
        </xdr:cNvPr>
        <xdr:cNvSpPr/>
      </xdr:nvSpPr>
      <xdr:spPr>
        <a:xfrm>
          <a:off x="2178845" y="3238500"/>
          <a:ext cx="3893343" cy="1714500"/>
        </a:xfrm>
        <a:prstGeom prst="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glow rad="101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0</xdr:colOff>
      <xdr:row>18</xdr:row>
      <xdr:rowOff>62655</xdr:rowOff>
    </xdr:from>
    <xdr:to>
      <xdr:col>9</xdr:col>
      <xdr:colOff>178593</xdr:colOff>
      <xdr:row>25</xdr:row>
      <xdr:rowOff>130969</xdr:rowOff>
    </xdr:to>
    <xdr:pic>
      <xdr:nvPicPr>
        <xdr:cNvPr id="30" name="Picture 29">
          <a:extLst>
            <a:ext uri="{FF2B5EF4-FFF2-40B4-BE49-F238E27FC236}">
              <a16:creationId xmlns:a16="http://schemas.microsoft.com/office/drawing/2014/main" id="{D84FFE10-C1F9-33FF-8E4C-028E571FD6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28875" y="3491655"/>
          <a:ext cx="3214687" cy="140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285750</xdr:colOff>
      <xdr:row>17</xdr:row>
      <xdr:rowOff>0</xdr:rowOff>
    </xdr:from>
    <xdr:to>
      <xdr:col>16</xdr:col>
      <xdr:colOff>0</xdr:colOff>
      <xdr:row>26</xdr:row>
      <xdr:rowOff>0</xdr:rowOff>
    </xdr:to>
    <xdr:graphicFrame macro="">
      <xdr:nvGraphicFramePr>
        <xdr:cNvPr id="32" name="Chart 31">
          <a:extLst>
            <a:ext uri="{FF2B5EF4-FFF2-40B4-BE49-F238E27FC236}">
              <a16:creationId xmlns:a16="http://schemas.microsoft.com/office/drawing/2014/main" id="{6907FF3A-8D37-4BCA-99F5-2C5210353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154783</xdr:colOff>
      <xdr:row>5</xdr:row>
      <xdr:rowOff>42862</xdr:rowOff>
    </xdr:from>
    <xdr:to>
      <xdr:col>21</xdr:col>
      <xdr:colOff>1</xdr:colOff>
      <xdr:row>26</xdr:row>
      <xdr:rowOff>0</xdr:rowOff>
    </xdr:to>
    <xdr:graphicFrame macro="">
      <xdr:nvGraphicFramePr>
        <xdr:cNvPr id="33" name="Chart 32">
          <a:extLst>
            <a:ext uri="{FF2B5EF4-FFF2-40B4-BE49-F238E27FC236}">
              <a16:creationId xmlns:a16="http://schemas.microsoft.com/office/drawing/2014/main" id="{1808FA8F-146C-4974-9A09-B51EDE892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309563</xdr:colOff>
      <xdr:row>6</xdr:row>
      <xdr:rowOff>0</xdr:rowOff>
    </xdr:from>
    <xdr:to>
      <xdr:col>16</xdr:col>
      <xdr:colOff>0</xdr:colOff>
      <xdr:row>16</xdr:row>
      <xdr:rowOff>0</xdr:rowOff>
    </xdr:to>
    <xdr:graphicFrame macro="">
      <xdr:nvGraphicFramePr>
        <xdr:cNvPr id="35" name="Chart 34">
          <a:extLst>
            <a:ext uri="{FF2B5EF4-FFF2-40B4-BE49-F238E27FC236}">
              <a16:creationId xmlns:a16="http://schemas.microsoft.com/office/drawing/2014/main" id="{4586C9F1-AB7C-4A80-BB33-B5145231F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119064</xdr:colOff>
      <xdr:row>18</xdr:row>
      <xdr:rowOff>0</xdr:rowOff>
    </xdr:from>
    <xdr:to>
      <xdr:col>26</xdr:col>
      <xdr:colOff>1</xdr:colOff>
      <xdr:row>26</xdr:row>
      <xdr:rowOff>0</xdr:rowOff>
    </xdr:to>
    <xdr:graphicFrame macro="">
      <xdr:nvGraphicFramePr>
        <xdr:cNvPr id="37" name="Chart 36">
          <a:extLst>
            <a:ext uri="{FF2B5EF4-FFF2-40B4-BE49-F238E27FC236}">
              <a16:creationId xmlns:a16="http://schemas.microsoft.com/office/drawing/2014/main" id="{D9EE583E-2E75-4455-9434-55877D4B4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147358</xdr:colOff>
      <xdr:row>0</xdr:row>
      <xdr:rowOff>114178</xdr:rowOff>
    </xdr:from>
    <xdr:to>
      <xdr:col>2</xdr:col>
      <xdr:colOff>476250</xdr:colOff>
      <xdr:row>3</xdr:row>
      <xdr:rowOff>0</xdr:rowOff>
    </xdr:to>
    <xdr:pic>
      <xdr:nvPicPr>
        <xdr:cNvPr id="38" name="Picture 37">
          <a:extLst>
            <a:ext uri="{FF2B5EF4-FFF2-40B4-BE49-F238E27FC236}">
              <a16:creationId xmlns:a16="http://schemas.microsoft.com/office/drawing/2014/main" id="{85A10174-8F07-4521-87FB-FBEC434A18D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47358" y="114178"/>
          <a:ext cx="1543330" cy="457322"/>
        </a:xfrm>
        <a:prstGeom prst="rect">
          <a:avLst/>
        </a:prstGeom>
        <a:solidFill>
          <a:schemeClr val="accent5">
            <a:lumMod val="50000"/>
          </a:schemeClr>
        </a:solidFill>
      </xdr:spPr>
    </xdr:pic>
    <xdr:clientData/>
  </xdr:twoCellAnchor>
  <xdr:twoCellAnchor editAs="oneCell">
    <xdr:from>
      <xdr:col>0</xdr:col>
      <xdr:colOff>321471</xdr:colOff>
      <xdr:row>7</xdr:row>
      <xdr:rowOff>0</xdr:rowOff>
    </xdr:from>
    <xdr:to>
      <xdr:col>2</xdr:col>
      <xdr:colOff>0</xdr:colOff>
      <xdr:row>15</xdr:row>
      <xdr:rowOff>130968</xdr:rowOff>
    </xdr:to>
    <mc:AlternateContent xmlns:mc="http://schemas.openxmlformats.org/markup-compatibility/2006">
      <mc:Choice xmlns:a14="http://schemas.microsoft.com/office/drawing/2010/main" Requires="a14">
        <xdr:graphicFrame macro="">
          <xdr:nvGraphicFramePr>
            <xdr:cNvPr id="39" name="Gender Value 1">
              <a:extLst>
                <a:ext uri="{FF2B5EF4-FFF2-40B4-BE49-F238E27FC236}">
                  <a16:creationId xmlns:a16="http://schemas.microsoft.com/office/drawing/2014/main" id="{4B3F2377-062B-4588-8831-7951EC8A7BE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321471" y="1333500"/>
              <a:ext cx="892967" cy="1654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226220</xdr:colOff>
      <xdr:row>16</xdr:row>
      <xdr:rowOff>0</xdr:rowOff>
    </xdr:from>
    <xdr:to>
      <xdr:col>2</xdr:col>
      <xdr:colOff>107157</xdr:colOff>
      <xdr:row>25</xdr:row>
      <xdr:rowOff>136186</xdr:rowOff>
    </xdr:to>
    <mc:AlternateContent xmlns:mc="http://schemas.openxmlformats.org/markup-compatibility/2006">
      <mc:Choice xmlns:a14="http://schemas.microsoft.com/office/drawing/2010/main" Requires="a14">
        <xdr:graphicFrame macro="">
          <xdr:nvGraphicFramePr>
            <xdr:cNvPr id="40" name="Order Mode 1">
              <a:extLst>
                <a:ext uri="{FF2B5EF4-FFF2-40B4-BE49-F238E27FC236}">
                  <a16:creationId xmlns:a16="http://schemas.microsoft.com/office/drawing/2014/main" id="{4F619FEB-5FCC-42E7-B546-BD22DFD27AB4}"/>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226220" y="3048000"/>
              <a:ext cx="1095375" cy="1850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3</xdr:row>
      <xdr:rowOff>0</xdr:rowOff>
    </xdr:from>
    <xdr:to>
      <xdr:col>3</xdr:col>
      <xdr:colOff>0</xdr:colOff>
      <xdr:row>7</xdr:row>
      <xdr:rowOff>0</xdr:rowOff>
    </xdr:to>
    <xdr:sp macro="" textlink="">
      <xdr:nvSpPr>
        <xdr:cNvPr id="42" name="TextBox 41">
          <a:extLst>
            <a:ext uri="{FF2B5EF4-FFF2-40B4-BE49-F238E27FC236}">
              <a16:creationId xmlns:a16="http://schemas.microsoft.com/office/drawing/2014/main" id="{4292E0D3-8962-2336-B5AB-153B4A089B75}"/>
            </a:ext>
          </a:extLst>
        </xdr:cNvPr>
        <xdr:cNvSpPr txBox="1"/>
      </xdr:nvSpPr>
      <xdr:spPr>
        <a:xfrm>
          <a:off x="1" y="571500"/>
          <a:ext cx="182165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Arial Black" panose="020B0A04020102020204" pitchFamily="34" charset="0"/>
            </a:rPr>
            <a:t>Ecommarce</a:t>
          </a:r>
          <a:r>
            <a:rPr lang="en-IN" sz="1100" baseline="0">
              <a:solidFill>
                <a:schemeClr val="bg1"/>
              </a:solidFill>
              <a:latin typeface="Arial Black" panose="020B0A04020102020204" pitchFamily="34" charset="0"/>
            </a:rPr>
            <a:t> Business Trend Analsysis</a:t>
          </a:r>
          <a:endParaRPr lang="en-IN" sz="1100">
            <a:solidFill>
              <a:schemeClr val="bg1"/>
            </a:solidFill>
            <a:latin typeface="Arial Black" panose="020B0A04020102020204" pitchFamily="34" charset="0"/>
          </a:endParaRPr>
        </a:p>
      </xdr:txBody>
    </xdr:sp>
    <xdr:clientData/>
  </xdr:twoCellAnchor>
  <xdr:twoCellAnchor>
    <xdr:from>
      <xdr:col>21</xdr:col>
      <xdr:colOff>71437</xdr:colOff>
      <xdr:row>5</xdr:row>
      <xdr:rowOff>71438</xdr:rowOff>
    </xdr:from>
    <xdr:to>
      <xdr:col>26</xdr:col>
      <xdr:colOff>0</xdr:colOff>
      <xdr:row>17</xdr:row>
      <xdr:rowOff>0</xdr:rowOff>
    </xdr:to>
    <xdr:graphicFrame macro="">
      <xdr:nvGraphicFramePr>
        <xdr:cNvPr id="43" name="Chart 42">
          <a:extLst>
            <a:ext uri="{FF2B5EF4-FFF2-40B4-BE49-F238E27FC236}">
              <a16:creationId xmlns:a16="http://schemas.microsoft.com/office/drawing/2014/main" id="{5AFB72E6-0366-4E13-9618-0D7F0BA9F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Valmiki" refreshedDate="46273.482255787036" createdVersion="8" refreshedVersion="8" minRefreshableVersion="3" recordCount="2400" xr:uid="{A9F51A83-46A1-415F-995B-A5F67064B094}">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832414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D94C4-D8BC-4F60-83FF-E3926A1C1973}"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location ref="B44:C50"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Quantity" fld="2" baseField="0" baseItem="0"/>
  </dataFields>
  <formats count="6">
    <format dxfId="566">
      <pivotArea type="all" dataOnly="0" outline="0" fieldPosition="0"/>
    </format>
    <format dxfId="565">
      <pivotArea outline="0" collapsedLevelsAreSubtotals="1" fieldPosition="0"/>
    </format>
    <format dxfId="564">
      <pivotArea field="8" type="button" dataOnly="0" labelOnly="1" outline="0" axis="axisRow" fieldPosition="0"/>
    </format>
    <format dxfId="563">
      <pivotArea dataOnly="0" labelOnly="1" fieldPosition="0">
        <references count="1">
          <reference field="8" count="0"/>
        </references>
      </pivotArea>
    </format>
    <format dxfId="562">
      <pivotArea dataOnly="0" labelOnly="1" grandRow="1" outline="0" fieldPosition="0"/>
    </format>
    <format dxfId="561">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8" count="1" selected="0">
            <x v="0"/>
          </reference>
        </references>
      </pivotArea>
    </chartFormat>
    <chartFormat chart="8" format="9">
      <pivotArea type="data" outline="0" fieldPosition="0">
        <references count="2">
          <reference field="4294967294" count="1" selected="0">
            <x v="0"/>
          </reference>
          <reference field="8" count="1" selected="0">
            <x v="1"/>
          </reference>
        </references>
      </pivotArea>
    </chartFormat>
    <chartFormat chart="8" format="10">
      <pivotArea type="data" outline="0" fieldPosition="0">
        <references count="2">
          <reference field="4294967294" count="1" selected="0">
            <x v="0"/>
          </reference>
          <reference field="8" count="1" selected="0">
            <x v="2"/>
          </reference>
        </references>
      </pivotArea>
    </chartFormat>
    <chartFormat chart="8" format="11">
      <pivotArea type="data" outline="0" fieldPosition="0">
        <references count="2">
          <reference field="4294967294" count="1" selected="0">
            <x v="0"/>
          </reference>
          <reference field="8" count="1" selected="0">
            <x v="3"/>
          </reference>
        </references>
      </pivotArea>
    </chartFormat>
    <chartFormat chart="8"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70E09-3C8E-4D22-BA91-FD955A7E6A25}" name="PivotTable1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52:C6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formats count="6">
    <format dxfId="558">
      <pivotArea type="all" dataOnly="0" outline="0" fieldPosition="0"/>
    </format>
    <format dxfId="557">
      <pivotArea outline="0" collapsedLevelsAreSubtotals="1" fieldPosition="0"/>
    </format>
    <format dxfId="556">
      <pivotArea field="12" type="button" dataOnly="0" labelOnly="1" outline="0" axis="axisRow" fieldPosition="0"/>
    </format>
    <format dxfId="555">
      <pivotArea dataOnly="0" labelOnly="1" fieldPosition="0">
        <references count="1">
          <reference field="12" count="0"/>
        </references>
      </pivotArea>
    </format>
    <format dxfId="554">
      <pivotArea dataOnly="0" labelOnly="1" grandRow="1" outline="0" fieldPosition="0"/>
    </format>
    <format dxfId="553">
      <pivotArea dataOnly="0" labelOnly="1" outline="0" axis="axisValues"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CFFD3-6AB0-4875-AC15-5F243EF62B86}" name="PivotTable1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41:L46"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formats count="1">
    <format dxfId="559">
      <pivotArea type="all" dataOnly="0" outline="0" fieldPosition="0"/>
    </format>
  </formats>
  <chartFormats count="5">
    <chartFormat chart="19" format="13" series="1">
      <pivotArea type="data" outline="0" fieldPosition="0">
        <references count="2">
          <reference field="4294967294" count="1" selected="0">
            <x v="0"/>
          </reference>
          <reference field="9" count="1" selected="0">
            <x v="0"/>
          </reference>
        </references>
      </pivotArea>
    </chartFormat>
    <chartFormat chart="19" format="14" series="1">
      <pivotArea type="data" outline="0" fieldPosition="0">
        <references count="2">
          <reference field="4294967294" count="1" selected="0">
            <x v="0"/>
          </reference>
          <reference field="9" count="1" selected="0">
            <x v="1"/>
          </reference>
        </references>
      </pivotArea>
    </chartFormat>
    <chartFormat chart="19" format="15" series="1">
      <pivotArea type="data" outline="0" fieldPosition="0">
        <references count="2">
          <reference field="4294967294" count="1" selected="0">
            <x v="0"/>
          </reference>
          <reference field="9" count="1" selected="0">
            <x v="2"/>
          </reference>
        </references>
      </pivotArea>
    </chartFormat>
    <chartFormat chart="19" format="16" series="1">
      <pivotArea type="data" outline="0" fieldPosition="0">
        <references count="2">
          <reference field="4294967294" count="1" selected="0">
            <x v="0"/>
          </reference>
          <reference field="9" count="1" selected="0">
            <x v="3"/>
          </reference>
        </references>
      </pivotArea>
    </chartFormat>
    <chartFormat chart="19"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A7D932-15DD-4431-9F32-752096E50022}"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4:C39"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formats count="6">
    <format dxfId="573">
      <pivotArea type="all" dataOnly="0" outline="0" fieldPosition="0"/>
    </format>
    <format dxfId="572">
      <pivotArea outline="0" collapsedLevelsAreSubtotals="1" fieldPosition="0"/>
    </format>
    <format dxfId="571">
      <pivotArea field="14" type="button" dataOnly="0" labelOnly="1" outline="0" axis="axisRow" fieldPosition="0"/>
    </format>
    <format dxfId="570">
      <pivotArea dataOnly="0" labelOnly="1" fieldPosition="0">
        <references count="1">
          <reference field="14" count="0"/>
        </references>
      </pivotArea>
    </format>
    <format dxfId="569">
      <pivotArea dataOnly="0" labelOnly="1" grandRow="1" outline="0" fieldPosition="0"/>
    </format>
    <format dxfId="5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2BFA68-FB89-43FA-8AD9-66D42D525C75}"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6:K3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formats count="1">
    <format dxfId="574">
      <pivotArea type="all" dataOnly="0" outline="0" fieldPosition="0"/>
    </format>
  </format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C4CC50-E0EF-4EFB-B5A0-09FAEDCF7CF4}"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3:C3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to10" x="5"/>
        <item n="More than 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6">
    <format dxfId="581">
      <pivotArea type="all" dataOnly="0" outline="0" fieldPosition="0"/>
    </format>
    <format dxfId="580">
      <pivotArea outline="0" collapsedLevelsAreSubtotals="1" fieldPosition="0"/>
    </format>
    <format dxfId="579">
      <pivotArea field="15" type="button" dataOnly="0" labelOnly="1" outline="0" axis="axisRow" fieldPosition="0"/>
    </format>
    <format dxfId="578">
      <pivotArea dataOnly="0" labelOnly="1" fieldPosition="0">
        <references count="1">
          <reference field="15" count="0"/>
        </references>
      </pivotArea>
    </format>
    <format dxfId="577">
      <pivotArea dataOnly="0" labelOnly="1" grandRow="1" outline="0" fieldPosition="0"/>
    </format>
    <format dxfId="576">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23878B-E1FF-4060-B7EB-8EF83BEF8D2E}"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K1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
    <format dxfId="58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366951-787B-4DDF-878F-0CD9A648F922}"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6:D20"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6">
    <format dxfId="588">
      <pivotArea type="all" dataOnly="0" outline="0" fieldPosition="0"/>
    </format>
    <format dxfId="587">
      <pivotArea outline="0" collapsedLevelsAreSubtotals="1" fieldPosition="0"/>
    </format>
    <format dxfId="586">
      <pivotArea field="13" type="button" dataOnly="0" labelOnly="1" outline="0" axis="axisRow" fieldPosition="0"/>
    </format>
    <format dxfId="585">
      <pivotArea dataOnly="0" labelOnly="1" fieldPosition="0">
        <references count="1">
          <reference field="13" count="0"/>
        </references>
      </pivotArea>
    </format>
    <format dxfId="584">
      <pivotArea dataOnly="0" labelOnly="1" grandRow="1" outline="0" fieldPosition="0"/>
    </format>
    <format dxfId="583">
      <pivotArea dataOnly="0" labelOnly="1" outline="0" fieldPosition="0">
        <references count="1">
          <reference field="4294967294" count="2">
            <x v="0"/>
            <x v="1"/>
          </reference>
        </references>
      </pivotArea>
    </format>
  </formats>
  <chartFormats count="16">
    <chartFormat chart="34"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37" format="6"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1"/>
          </reference>
        </references>
      </pivotArea>
    </chartFormat>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 chart="50"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7E901D-AD6B-4D8E-BAC0-29FB23B1E26F}"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Orders" fld="0" subtotal="count" baseField="0" baseItem="1"/>
    <dataField name="Total Quantity" fld="2" baseField="0" baseItem="2"/>
    <dataField name="Total Amount" fld="4" baseField="0" baseItem="1"/>
    <dataField name="Avg Rating " fld="9" subtotal="average" baseField="0" baseItem="3"/>
    <dataField name="Avg Days to Deliver" fld="12" subtotal="average" baseField="0" baseItem="4"/>
  </dataFields>
  <formats count="1">
    <format dxfId="589">
      <pivotArea dataOnly="0"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F1EB9DA-1000-4BBE-9684-7B563A53CFE1}" sourceName="Gender Value">
  <pivotTables>
    <pivotTable tabId="6" name="PivotTable11"/>
    <pivotTable tabId="6" name="PivotTable1"/>
    <pivotTable tabId="6" name="PivotTable13"/>
    <pivotTable tabId="6" name="PivotTable14"/>
    <pivotTable tabId="6" name="PivotTable2"/>
    <pivotTable tabId="6" name="PivotTable4"/>
    <pivotTable tabId="6" name="PivotTable5"/>
    <pivotTable tabId="6" name="PivotTable9"/>
    <pivotTable tabId="6" name="PivotTable15"/>
  </pivotTables>
  <data>
    <tabular pivotCacheId="1832414274">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3E4D6DD-7584-4078-8909-89769E2E2746}" sourceName="Order Mode">
  <pivotTables>
    <pivotTable tabId="6" name="PivotTable11"/>
    <pivotTable tabId="6" name="PivotTable1"/>
    <pivotTable tabId="6" name="PivotTable13"/>
    <pivotTable tabId="6" name="PivotTable14"/>
    <pivotTable tabId="6" name="PivotTable2"/>
    <pivotTable tabId="6" name="PivotTable4"/>
    <pivotTable tabId="6" name="PivotTable5"/>
    <pivotTable tabId="6" name="PivotTable9"/>
    <pivotTable tabId="6" name="PivotTable15"/>
  </pivotTables>
  <data>
    <tabular pivotCacheId="183241427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2930B037-5FD5-4497-8455-AF916630B6ED}" cache="Slicer_Gender_Value" rowHeight="257175"/>
  <slicer name="Order Mode 1" xr10:uid="{59BFF622-ECFF-457B-BE85-C1EDCC181054}" cache="Slicer_Order_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94"/>
    <tableColumn id="7" xr3:uid="{43BB5DBF-46E1-4185-80C0-4361F55A385C}" name="Ship Date" dataDxfId="59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592">
      <calculatedColumnFormula>orders[[#This Row],[Ship Date]]-orders[[#This Row],[Order Date]]</calculatedColumnFormula>
    </tableColumn>
    <tableColumn id="12" xr3:uid="{B071C0DA-87A9-4516-B4D9-4F5B7D3FF44A}" name="Weeknum" dataDxfId="591">
      <calculatedColumnFormula>WEEKNUM(orders[[#This Row],[Order Date]])</calculatedColumnFormula>
    </tableColumn>
    <tableColumn id="13" xr3:uid="{B8EA9E28-7541-4E76-9935-C26438661A18}" name="Gender Value" dataDxfId="590">
      <calculatedColumnFormula array="1">_xlfn.IFS(orders[[#This Row],[Customer Gender]]="M","Male", orders[[#This Row],[Customer Gender]]="F","Female", orders[[#This Row],[Customer Gender]]="O","Other", TRUE,"Unknown")</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FF14-15C1-47EB-B65C-2A3F9804A49E}">
  <dimension ref="B2:R68"/>
  <sheetViews>
    <sheetView showGridLines="0" zoomScale="89" workbookViewId="0">
      <selection activeCell="M15" sqref="M15"/>
    </sheetView>
  </sheetViews>
  <sheetFormatPr defaultRowHeight="15" x14ac:dyDescent="0.25"/>
  <cols>
    <col min="1" max="1" width="2.7109375" customWidth="1"/>
    <col min="2" max="2" width="11.28515625" bestFit="1" customWidth="1"/>
    <col min="3" max="3" width="15.5703125" bestFit="1" customWidth="1"/>
    <col min="4" max="4" width="14.85546875" bestFit="1" customWidth="1"/>
    <col min="5" max="5" width="13.42578125" bestFit="1" customWidth="1"/>
    <col min="6" max="6" width="20.85546875" bestFit="1" customWidth="1"/>
    <col min="7" max="7" width="16.85546875" bestFit="1" customWidth="1"/>
    <col min="8" max="8" width="5.5703125" bestFit="1" customWidth="1"/>
    <col min="9" max="9" width="6.140625" bestFit="1" customWidth="1"/>
    <col min="10" max="10" width="9.28515625" bestFit="1" customWidth="1"/>
    <col min="11" max="13" width="11.28515625" bestFit="1" customWidth="1"/>
    <col min="14" max="38" width="9.5703125" bestFit="1" customWidth="1"/>
    <col min="39" max="95" width="10.140625" bestFit="1" customWidth="1"/>
    <col min="96" max="96" width="11.28515625" bestFit="1" customWidth="1"/>
  </cols>
  <sheetData>
    <row r="2" spans="2:18" x14ac:dyDescent="0.25">
      <c r="H2" s="12" t="s">
        <v>2535</v>
      </c>
      <c r="I2" s="12"/>
      <c r="J2" s="12"/>
      <c r="K2" s="12"/>
      <c r="L2" s="12"/>
    </row>
    <row r="3" spans="2:18" x14ac:dyDescent="0.25">
      <c r="B3" s="6" t="s">
        <v>2504</v>
      </c>
      <c r="C3" s="6" t="s">
        <v>2505</v>
      </c>
      <c r="D3" s="6" t="s">
        <v>2506</v>
      </c>
      <c r="E3" s="6" t="s">
        <v>2530</v>
      </c>
      <c r="F3" s="6" t="s">
        <v>2531</v>
      </c>
      <c r="H3" s="6" t="s">
        <v>2524</v>
      </c>
      <c r="I3" s="6" t="s">
        <v>2532</v>
      </c>
      <c r="J3" s="6" t="s">
        <v>4</v>
      </c>
      <c r="K3" s="6" t="s">
        <v>2533</v>
      </c>
      <c r="L3" s="6" t="s">
        <v>2534</v>
      </c>
    </row>
    <row r="4" spans="2:18" x14ac:dyDescent="0.25">
      <c r="B4" s="8">
        <v>2400</v>
      </c>
      <c r="C4" s="8">
        <v>11997</v>
      </c>
      <c r="D4" s="8">
        <v>649019.80000000144</v>
      </c>
      <c r="E4" s="8">
        <v>3.9620833333333332</v>
      </c>
      <c r="F4" s="8">
        <v>2.3424999999999998</v>
      </c>
      <c r="H4" s="6" t="str">
        <f>TEXT(B4,"#,##")</f>
        <v>2,400</v>
      </c>
      <c r="I4" s="6" t="str">
        <f t="shared" ref="I4:L4" si="0">TEXT(C4,"#,##")</f>
        <v>11,997</v>
      </c>
      <c r="J4" s="6" t="str">
        <f>TEXT(D4,"$#,##,.0k")</f>
        <v>$649.0k</v>
      </c>
      <c r="K4" s="6" t="str">
        <f>TEXT(E4,"#,##,0.0")</f>
        <v>4.0</v>
      </c>
      <c r="L4" s="6" t="str">
        <f>TEXT(F4,"#,##,0.0")</f>
        <v>2.3</v>
      </c>
    </row>
    <row r="5" spans="2:18" x14ac:dyDescent="0.25">
      <c r="N5" t="s">
        <v>2543</v>
      </c>
    </row>
    <row r="6" spans="2:18" ht="17.100000000000001" customHeight="1" x14ac:dyDescent="0.25">
      <c r="B6" s="9" t="s">
        <v>2536</v>
      </c>
      <c r="C6" s="6" t="s">
        <v>2528</v>
      </c>
      <c r="D6" s="6" t="s">
        <v>2529</v>
      </c>
      <c r="F6" s="9" t="s">
        <v>2529</v>
      </c>
      <c r="G6" s="9" t="s">
        <v>2538</v>
      </c>
      <c r="H6" s="6"/>
      <c r="I6" s="6"/>
      <c r="J6" s="6"/>
      <c r="K6" s="6"/>
      <c r="O6" t="s">
        <v>2544</v>
      </c>
      <c r="P6" t="s">
        <v>2545</v>
      </c>
      <c r="Q6" t="s">
        <v>2546</v>
      </c>
      <c r="R6" t="s">
        <v>2547</v>
      </c>
    </row>
    <row r="7" spans="2:18" ht="17.100000000000001" customHeight="1" x14ac:dyDescent="0.25">
      <c r="B7" s="10">
        <v>1</v>
      </c>
      <c r="C7" s="8">
        <v>546</v>
      </c>
      <c r="D7" s="8">
        <v>32413.300000000003</v>
      </c>
      <c r="F7" s="9" t="s">
        <v>2536</v>
      </c>
      <c r="G7" s="6" t="s">
        <v>2539</v>
      </c>
      <c r="H7" s="6" t="s">
        <v>2540</v>
      </c>
      <c r="I7" s="6" t="s">
        <v>2541</v>
      </c>
      <c r="J7" s="6" t="s">
        <v>2542</v>
      </c>
      <c r="K7" s="6" t="s">
        <v>2537</v>
      </c>
      <c r="N7" t="str">
        <f>F8</f>
        <v>App</v>
      </c>
      <c r="O7" s="7">
        <f t="shared" ref="O7:S11" si="1">G8</f>
        <v>0.18961825201634841</v>
      </c>
      <c r="P7" s="7">
        <f t="shared" si="1"/>
        <v>0.12262322351336576</v>
      </c>
      <c r="Q7" s="7">
        <f t="shared" si="1"/>
        <v>1.060537752469185E-2</v>
      </c>
      <c r="R7" s="7">
        <f t="shared" si="1"/>
        <v>3.0599220547662797E-2</v>
      </c>
    </row>
    <row r="8" spans="2:18" ht="17.100000000000001" customHeight="1" x14ac:dyDescent="0.25">
      <c r="B8" s="10">
        <v>2</v>
      </c>
      <c r="C8" s="8">
        <v>905</v>
      </c>
      <c r="D8" s="8">
        <v>49562.999999999993</v>
      </c>
      <c r="F8" s="10" t="s">
        <v>18</v>
      </c>
      <c r="G8" s="11">
        <v>0.18961825201634841</v>
      </c>
      <c r="H8" s="11">
        <v>0.12262322351336576</v>
      </c>
      <c r="I8" s="11">
        <v>1.060537752469185E-2</v>
      </c>
      <c r="J8" s="11">
        <v>3.0599220547662797E-2</v>
      </c>
      <c r="K8" s="11">
        <v>0.35344607360206881</v>
      </c>
      <c r="N8" t="str">
        <f t="shared" ref="N8:N11" si="2">F9</f>
        <v>Instagram</v>
      </c>
      <c r="O8" s="7">
        <f t="shared" si="1"/>
        <v>5.0283982091147303E-2</v>
      </c>
      <c r="P8" s="7">
        <f t="shared" si="1"/>
        <v>4.3060781812819873E-2</v>
      </c>
      <c r="Q8" s="7">
        <f t="shared" si="1"/>
        <v>1.5320025675641944E-3</v>
      </c>
      <c r="R8" s="7">
        <f t="shared" si="1"/>
        <v>1.7794988689097006E-2</v>
      </c>
    </row>
    <row r="9" spans="2:18" ht="17.100000000000001" customHeight="1" x14ac:dyDescent="0.25">
      <c r="B9" s="10">
        <v>3</v>
      </c>
      <c r="C9" s="8">
        <v>796</v>
      </c>
      <c r="D9" s="8">
        <v>41700.400000000016</v>
      </c>
      <c r="F9" s="10" t="s">
        <v>51</v>
      </c>
      <c r="G9" s="11">
        <v>5.0283982091147303E-2</v>
      </c>
      <c r="H9" s="11">
        <v>4.3060781812819873E-2</v>
      </c>
      <c r="I9" s="11">
        <v>1.5320025675641944E-3</v>
      </c>
      <c r="J9" s="11">
        <v>1.7794988689097006E-2</v>
      </c>
      <c r="K9" s="11">
        <v>0.11267175516062837</v>
      </c>
      <c r="N9" t="str">
        <f t="shared" si="2"/>
        <v>Partner App</v>
      </c>
      <c r="O9" s="7">
        <f t="shared" si="1"/>
        <v>6.3496059750411282E-2</v>
      </c>
      <c r="P9" s="7">
        <f t="shared" si="1"/>
        <v>4.6071629863988765E-2</v>
      </c>
      <c r="Q9" s="7">
        <f t="shared" si="1"/>
        <v>2.306247051322625E-3</v>
      </c>
      <c r="R9" s="7">
        <f t="shared" si="1"/>
        <v>3.8927934093844286E-3</v>
      </c>
    </row>
    <row r="10" spans="2:18" ht="17.100000000000001" customHeight="1" x14ac:dyDescent="0.25">
      <c r="B10" s="10">
        <v>4</v>
      </c>
      <c r="C10" s="8">
        <v>913</v>
      </c>
      <c r="D10" s="8">
        <v>46782.599999999984</v>
      </c>
      <c r="F10" s="10" t="s">
        <v>70</v>
      </c>
      <c r="G10" s="11">
        <v>6.3496059750411282E-2</v>
      </c>
      <c r="H10" s="11">
        <v>4.6071629863988765E-2</v>
      </c>
      <c r="I10" s="11">
        <v>2.306247051322625E-3</v>
      </c>
      <c r="J10" s="11">
        <v>3.8927934093844286E-3</v>
      </c>
      <c r="K10" s="11">
        <v>0.11576673007510711</v>
      </c>
      <c r="N10" t="str">
        <f t="shared" si="2"/>
        <v>Target.com</v>
      </c>
      <c r="O10" s="7">
        <f t="shared" si="1"/>
        <v>9.6337892927149532E-2</v>
      </c>
      <c r="P10" s="7">
        <f t="shared" si="1"/>
        <v>6.7920115842382611E-2</v>
      </c>
      <c r="Q10" s="7">
        <f t="shared" si="1"/>
        <v>5.4979832664581261E-3</v>
      </c>
      <c r="R10" s="7">
        <f t="shared" si="1"/>
        <v>1.2933041488102518E-2</v>
      </c>
    </row>
    <row r="11" spans="2:18" ht="17.100000000000001" customHeight="1" x14ac:dyDescent="0.25">
      <c r="B11" s="10">
        <v>5</v>
      </c>
      <c r="C11" s="8">
        <v>844</v>
      </c>
      <c r="D11" s="8">
        <v>42676.100000000006</v>
      </c>
      <c r="F11" s="10" t="s">
        <v>40</v>
      </c>
      <c r="G11" s="11">
        <v>9.6337892927149532E-2</v>
      </c>
      <c r="H11" s="11">
        <v>6.7920115842382611E-2</v>
      </c>
      <c r="I11" s="11">
        <v>5.4979832664581261E-3</v>
      </c>
      <c r="J11" s="11">
        <v>1.2933041488102518E-2</v>
      </c>
      <c r="K11" s="11">
        <v>0.1826890335240928</v>
      </c>
      <c r="N11" t="str">
        <f t="shared" si="2"/>
        <v>Website</v>
      </c>
      <c r="O11" s="7">
        <f t="shared" si="1"/>
        <v>0.12522098709469262</v>
      </c>
      <c r="P11" s="7">
        <f t="shared" si="1"/>
        <v>9.1492740283116228E-2</v>
      </c>
      <c r="Q11" s="7">
        <f t="shared" si="1"/>
        <v>6.3042760790965081E-3</v>
      </c>
      <c r="R11" s="7">
        <f t="shared" si="1"/>
        <v>1.2408404181197551E-2</v>
      </c>
    </row>
    <row r="12" spans="2:18" x14ac:dyDescent="0.25">
      <c r="B12" s="10">
        <v>6</v>
      </c>
      <c r="C12" s="8">
        <v>1202</v>
      </c>
      <c r="D12" s="8">
        <v>62910.7</v>
      </c>
      <c r="F12" s="10" t="s">
        <v>35</v>
      </c>
      <c r="G12" s="11">
        <v>0.12522098709469262</v>
      </c>
      <c r="H12" s="11">
        <v>9.1492740283116228E-2</v>
      </c>
      <c r="I12" s="11">
        <v>6.3042760790965081E-3</v>
      </c>
      <c r="J12" s="11">
        <v>1.2408404181197551E-2</v>
      </c>
      <c r="K12" s="11">
        <v>0.23542640763810288</v>
      </c>
    </row>
    <row r="13" spans="2:18" x14ac:dyDescent="0.25">
      <c r="B13" s="10">
        <v>7</v>
      </c>
      <c r="C13" s="8">
        <v>935</v>
      </c>
      <c r="D13" s="8">
        <v>50332.200000000004</v>
      </c>
      <c r="F13" s="10" t="s">
        <v>2537</v>
      </c>
      <c r="G13" s="11">
        <v>0.52495717387974916</v>
      </c>
      <c r="H13" s="11">
        <v>0.3711684913156732</v>
      </c>
      <c r="I13" s="11">
        <v>2.6245886489133303E-2</v>
      </c>
      <c r="J13" s="11">
        <v>7.7628448315444312E-2</v>
      </c>
      <c r="K13" s="11">
        <v>1</v>
      </c>
    </row>
    <row r="14" spans="2:18" x14ac:dyDescent="0.25">
      <c r="B14" s="10">
        <v>8</v>
      </c>
      <c r="C14" s="8">
        <v>1128</v>
      </c>
      <c r="D14" s="8">
        <v>58760.599999999977</v>
      </c>
    </row>
    <row r="15" spans="2:18" x14ac:dyDescent="0.25">
      <c r="B15" s="10">
        <v>9</v>
      </c>
      <c r="C15" s="8">
        <v>1007</v>
      </c>
      <c r="D15" s="8">
        <v>52017.299999999996</v>
      </c>
    </row>
    <row r="16" spans="2:18" x14ac:dyDescent="0.25">
      <c r="B16" s="10">
        <v>10</v>
      </c>
      <c r="C16" s="8">
        <v>1128</v>
      </c>
      <c r="D16" s="8">
        <v>64915.700000000033</v>
      </c>
      <c r="F16" s="9" t="s">
        <v>2528</v>
      </c>
      <c r="G16" s="9" t="s">
        <v>2538</v>
      </c>
      <c r="H16" s="6"/>
      <c r="I16" s="6"/>
      <c r="J16" s="6"/>
      <c r="K16" s="6"/>
    </row>
    <row r="17" spans="2:11" x14ac:dyDescent="0.25">
      <c r="B17" s="10">
        <v>11</v>
      </c>
      <c r="C17" s="8">
        <v>861</v>
      </c>
      <c r="D17" s="8">
        <v>45943.80000000001</v>
      </c>
      <c r="F17" s="9" t="s">
        <v>2536</v>
      </c>
      <c r="G17" s="6" t="s">
        <v>2539</v>
      </c>
      <c r="H17" s="6" t="s">
        <v>2540</v>
      </c>
      <c r="I17" s="6" t="s">
        <v>2541</v>
      </c>
      <c r="J17" s="6" t="s">
        <v>2542</v>
      </c>
      <c r="K17" s="6" t="s">
        <v>2537</v>
      </c>
    </row>
    <row r="18" spans="2:11" x14ac:dyDescent="0.25">
      <c r="B18" s="10">
        <v>12</v>
      </c>
      <c r="C18" s="8">
        <v>944</v>
      </c>
      <c r="D18" s="8">
        <v>55077.900000000031</v>
      </c>
      <c r="F18" s="10" t="s">
        <v>44</v>
      </c>
      <c r="G18" s="8">
        <v>744</v>
      </c>
      <c r="H18" s="8">
        <v>713</v>
      </c>
      <c r="I18" s="8">
        <v>90</v>
      </c>
      <c r="J18" s="8">
        <v>98</v>
      </c>
      <c r="K18" s="8">
        <v>1645</v>
      </c>
    </row>
    <row r="19" spans="2:11" x14ac:dyDescent="0.25">
      <c r="B19" s="10">
        <v>13</v>
      </c>
      <c r="C19" s="8">
        <v>788</v>
      </c>
      <c r="D19" s="8">
        <v>45926.19999999999</v>
      </c>
      <c r="F19" s="10" t="s">
        <v>39</v>
      </c>
      <c r="G19" s="8">
        <v>716</v>
      </c>
      <c r="H19" s="8">
        <v>598</v>
      </c>
      <c r="I19" s="8">
        <v>18</v>
      </c>
      <c r="J19" s="8">
        <v>214</v>
      </c>
      <c r="K19" s="8">
        <v>1546</v>
      </c>
    </row>
    <row r="20" spans="2:11" x14ac:dyDescent="0.25">
      <c r="B20" s="10" t="s">
        <v>2537</v>
      </c>
      <c r="C20" s="8">
        <v>11997</v>
      </c>
      <c r="D20" s="8">
        <v>649019.79999999993</v>
      </c>
      <c r="F20" s="10" t="s">
        <v>26</v>
      </c>
      <c r="G20" s="8">
        <v>627</v>
      </c>
      <c r="H20" s="8">
        <v>393</v>
      </c>
      <c r="I20" s="8">
        <v>29</v>
      </c>
      <c r="J20" s="8">
        <v>137</v>
      </c>
      <c r="K20" s="8">
        <v>1186</v>
      </c>
    </row>
    <row r="21" spans="2:11" x14ac:dyDescent="0.25">
      <c r="F21" s="10" t="s">
        <v>22</v>
      </c>
      <c r="G21" s="8">
        <v>568</v>
      </c>
      <c r="H21" s="8">
        <v>306</v>
      </c>
      <c r="I21" s="8">
        <v>22</v>
      </c>
      <c r="J21" s="8">
        <v>16</v>
      </c>
      <c r="K21" s="8">
        <v>912</v>
      </c>
    </row>
    <row r="22" spans="2:11" x14ac:dyDescent="0.25">
      <c r="F22" s="10" t="s">
        <v>54</v>
      </c>
      <c r="G22" s="8">
        <v>482</v>
      </c>
      <c r="H22" s="8">
        <v>295</v>
      </c>
      <c r="I22" s="8">
        <v>8</v>
      </c>
      <c r="J22" s="8">
        <v>22</v>
      </c>
      <c r="K22" s="8">
        <v>807</v>
      </c>
    </row>
    <row r="23" spans="2:11" x14ac:dyDescent="0.25">
      <c r="B23" s="9" t="s">
        <v>2536</v>
      </c>
      <c r="C23" s="6" t="s">
        <v>2527</v>
      </c>
      <c r="F23" s="10" t="s">
        <v>16</v>
      </c>
      <c r="G23" s="8">
        <v>428</v>
      </c>
      <c r="H23" s="8">
        <v>293</v>
      </c>
      <c r="I23" s="8"/>
      <c r="J23" s="8">
        <v>24</v>
      </c>
      <c r="K23" s="8">
        <v>745</v>
      </c>
    </row>
    <row r="24" spans="2:11" x14ac:dyDescent="0.25">
      <c r="B24" s="10">
        <v>1</v>
      </c>
      <c r="C24" s="8">
        <v>397</v>
      </c>
      <c r="F24" s="10" t="s">
        <v>46</v>
      </c>
      <c r="G24" s="8">
        <v>445</v>
      </c>
      <c r="H24" s="8">
        <v>202</v>
      </c>
      <c r="I24" s="8">
        <v>14</v>
      </c>
      <c r="J24" s="8">
        <v>39</v>
      </c>
      <c r="K24" s="8">
        <v>700</v>
      </c>
    </row>
    <row r="25" spans="2:11" x14ac:dyDescent="0.25">
      <c r="B25" s="10">
        <v>2</v>
      </c>
      <c r="C25" s="8">
        <v>540</v>
      </c>
      <c r="F25" s="10" t="s">
        <v>32</v>
      </c>
      <c r="G25" s="8">
        <v>431</v>
      </c>
      <c r="H25" s="8">
        <v>187</v>
      </c>
      <c r="I25" s="8">
        <v>14</v>
      </c>
      <c r="J25" s="8">
        <v>15</v>
      </c>
      <c r="K25" s="8">
        <v>647</v>
      </c>
    </row>
    <row r="26" spans="2:11" x14ac:dyDescent="0.25">
      <c r="B26" s="10">
        <v>3</v>
      </c>
      <c r="C26" s="8">
        <v>375</v>
      </c>
      <c r="F26" s="10" t="s">
        <v>42</v>
      </c>
      <c r="G26" s="8">
        <v>264</v>
      </c>
      <c r="H26" s="8">
        <v>318</v>
      </c>
      <c r="I26" s="8">
        <v>15</v>
      </c>
      <c r="J26" s="8">
        <v>9</v>
      </c>
      <c r="K26" s="8">
        <v>606</v>
      </c>
    </row>
    <row r="27" spans="2:11" x14ac:dyDescent="0.25">
      <c r="B27" s="10">
        <v>4</v>
      </c>
      <c r="C27" s="8">
        <v>246</v>
      </c>
      <c r="F27" s="10" t="s">
        <v>37</v>
      </c>
      <c r="G27" s="8">
        <v>296</v>
      </c>
      <c r="H27" s="8">
        <v>275</v>
      </c>
      <c r="I27" s="8">
        <v>9</v>
      </c>
      <c r="J27" s="8">
        <v>23</v>
      </c>
      <c r="K27" s="8">
        <v>603</v>
      </c>
    </row>
    <row r="28" spans="2:11" x14ac:dyDescent="0.25">
      <c r="B28" s="10">
        <v>5</v>
      </c>
      <c r="C28" s="8">
        <v>195</v>
      </c>
      <c r="F28" s="10" t="s">
        <v>123</v>
      </c>
      <c r="G28" s="8">
        <v>153</v>
      </c>
      <c r="H28" s="8">
        <v>246</v>
      </c>
      <c r="I28" s="8">
        <v>30</v>
      </c>
      <c r="J28" s="8">
        <v>8</v>
      </c>
      <c r="K28" s="8">
        <v>437</v>
      </c>
    </row>
    <row r="29" spans="2:11" x14ac:dyDescent="0.25">
      <c r="B29" s="10" t="s">
        <v>2549</v>
      </c>
      <c r="C29" s="8">
        <v>414</v>
      </c>
      <c r="F29" s="10" t="s">
        <v>146</v>
      </c>
      <c r="G29" s="8">
        <v>189</v>
      </c>
      <c r="H29" s="8">
        <v>168</v>
      </c>
      <c r="I29" s="8">
        <v>10</v>
      </c>
      <c r="J29" s="8">
        <v>31</v>
      </c>
      <c r="K29" s="8">
        <v>398</v>
      </c>
    </row>
    <row r="30" spans="2:11" x14ac:dyDescent="0.25">
      <c r="B30" s="10" t="s">
        <v>2548</v>
      </c>
      <c r="C30" s="8">
        <v>233</v>
      </c>
      <c r="F30" s="10" t="s">
        <v>69</v>
      </c>
      <c r="G30" s="8">
        <v>234</v>
      </c>
      <c r="H30" s="8">
        <v>93</v>
      </c>
      <c r="I30" s="8">
        <v>19</v>
      </c>
      <c r="J30" s="8">
        <v>24</v>
      </c>
      <c r="K30" s="8">
        <v>370</v>
      </c>
    </row>
    <row r="31" spans="2:11" x14ac:dyDescent="0.25">
      <c r="B31" s="10" t="s">
        <v>2537</v>
      </c>
      <c r="C31" s="8">
        <v>2400</v>
      </c>
      <c r="F31" s="10" t="s">
        <v>30</v>
      </c>
      <c r="G31" s="8">
        <v>146</v>
      </c>
      <c r="H31" s="8">
        <v>94</v>
      </c>
      <c r="I31" s="8">
        <v>4</v>
      </c>
      <c r="J31" s="8">
        <v>28</v>
      </c>
      <c r="K31" s="8">
        <v>272</v>
      </c>
    </row>
    <row r="32" spans="2:11" x14ac:dyDescent="0.25">
      <c r="F32" s="10" t="s">
        <v>135</v>
      </c>
      <c r="G32" s="8">
        <v>127</v>
      </c>
      <c r="H32" s="8">
        <v>118</v>
      </c>
      <c r="I32" s="8">
        <v>13</v>
      </c>
      <c r="J32" s="8">
        <v>12</v>
      </c>
      <c r="K32" s="8">
        <v>270</v>
      </c>
    </row>
    <row r="33" spans="2:12" x14ac:dyDescent="0.25">
      <c r="F33" s="10" t="s">
        <v>67</v>
      </c>
      <c r="G33" s="8">
        <v>179</v>
      </c>
      <c r="H33" s="8">
        <v>76</v>
      </c>
      <c r="I33" s="8">
        <v>3</v>
      </c>
      <c r="J33" s="8"/>
      <c r="K33" s="8">
        <v>258</v>
      </c>
    </row>
    <row r="34" spans="2:12" x14ac:dyDescent="0.25">
      <c r="B34" s="9" t="s">
        <v>2536</v>
      </c>
      <c r="C34" s="6" t="s">
        <v>2528</v>
      </c>
      <c r="F34" s="10" t="s">
        <v>128</v>
      </c>
      <c r="G34" s="8">
        <v>99</v>
      </c>
      <c r="H34" s="8">
        <v>69</v>
      </c>
      <c r="I34" s="8">
        <v>3</v>
      </c>
      <c r="J34" s="8">
        <v>24</v>
      </c>
      <c r="K34" s="8">
        <v>195</v>
      </c>
    </row>
    <row r="35" spans="2:12" x14ac:dyDescent="0.25">
      <c r="B35" s="10" t="s">
        <v>2539</v>
      </c>
      <c r="C35" s="8">
        <v>6272</v>
      </c>
      <c r="F35" s="10" t="s">
        <v>76</v>
      </c>
      <c r="G35" s="8">
        <v>75</v>
      </c>
      <c r="H35" s="8">
        <v>103</v>
      </c>
      <c r="I35" s="8">
        <v>4</v>
      </c>
      <c r="J35" s="8">
        <v>6</v>
      </c>
      <c r="K35" s="8">
        <v>188</v>
      </c>
    </row>
    <row r="36" spans="2:12" x14ac:dyDescent="0.25">
      <c r="B36" s="10" t="s">
        <v>2540</v>
      </c>
      <c r="C36" s="8">
        <v>4672</v>
      </c>
      <c r="F36" s="10" t="s">
        <v>81</v>
      </c>
      <c r="G36" s="8">
        <v>43</v>
      </c>
      <c r="H36" s="8">
        <v>90</v>
      </c>
      <c r="I36" s="8">
        <v>8</v>
      </c>
      <c r="J36" s="8">
        <v>6</v>
      </c>
      <c r="K36" s="8">
        <v>147</v>
      </c>
    </row>
    <row r="37" spans="2:12" x14ac:dyDescent="0.25">
      <c r="B37" s="10" t="s">
        <v>2541</v>
      </c>
      <c r="C37" s="8">
        <v>317</v>
      </c>
      <c r="F37" s="10" t="s">
        <v>171</v>
      </c>
      <c r="G37" s="8">
        <v>26</v>
      </c>
      <c r="H37" s="8">
        <v>35</v>
      </c>
      <c r="I37" s="8">
        <v>4</v>
      </c>
      <c r="J37" s="8"/>
      <c r="K37" s="8">
        <v>65</v>
      </c>
    </row>
    <row r="38" spans="2:12" x14ac:dyDescent="0.25">
      <c r="B38" s="10" t="s">
        <v>2542</v>
      </c>
      <c r="C38" s="8">
        <v>736</v>
      </c>
      <c r="F38" s="10" t="s">
        <v>2537</v>
      </c>
      <c r="G38" s="8">
        <v>6272</v>
      </c>
      <c r="H38" s="8">
        <v>4672</v>
      </c>
      <c r="I38" s="8">
        <v>317</v>
      </c>
      <c r="J38" s="8">
        <v>736</v>
      </c>
      <c r="K38" s="8">
        <v>11997</v>
      </c>
    </row>
    <row r="39" spans="2:12" x14ac:dyDescent="0.25">
      <c r="B39" s="10" t="s">
        <v>2537</v>
      </c>
      <c r="C39" s="8">
        <v>11997</v>
      </c>
    </row>
    <row r="41" spans="2:12" x14ac:dyDescent="0.25">
      <c r="F41" s="9" t="s">
        <v>2527</v>
      </c>
      <c r="G41" s="9" t="s">
        <v>2538</v>
      </c>
      <c r="H41" s="6"/>
      <c r="I41" s="6"/>
      <c r="J41" s="6"/>
      <c r="K41" s="6"/>
      <c r="L41" s="6"/>
    </row>
    <row r="42" spans="2:12" x14ac:dyDescent="0.25">
      <c r="F42" s="9" t="s">
        <v>2536</v>
      </c>
      <c r="G42" s="6">
        <v>1</v>
      </c>
      <c r="H42" s="6">
        <v>2</v>
      </c>
      <c r="I42" s="6">
        <v>3</v>
      </c>
      <c r="J42" s="6">
        <v>4</v>
      </c>
      <c r="K42" s="6">
        <v>5</v>
      </c>
      <c r="L42" s="6" t="s">
        <v>2537</v>
      </c>
    </row>
    <row r="43" spans="2:12" x14ac:dyDescent="0.25">
      <c r="F43" s="10" t="s">
        <v>2550</v>
      </c>
      <c r="G43" s="8">
        <v>7</v>
      </c>
      <c r="H43" s="8">
        <v>37</v>
      </c>
      <c r="I43" s="8">
        <v>150</v>
      </c>
      <c r="J43" s="8">
        <v>312</v>
      </c>
      <c r="K43" s="8">
        <v>224</v>
      </c>
      <c r="L43" s="8">
        <v>730</v>
      </c>
    </row>
    <row r="44" spans="2:12" x14ac:dyDescent="0.25">
      <c r="B44" s="9" t="s">
        <v>17</v>
      </c>
      <c r="C44" s="6" t="s">
        <v>2528</v>
      </c>
      <c r="F44" s="10" t="s">
        <v>2551</v>
      </c>
      <c r="G44" s="8">
        <v>8</v>
      </c>
      <c r="H44" s="8">
        <v>51</v>
      </c>
      <c r="I44" s="8">
        <v>182</v>
      </c>
      <c r="J44" s="8">
        <v>373</v>
      </c>
      <c r="K44" s="8">
        <v>247</v>
      </c>
      <c r="L44" s="8">
        <v>861</v>
      </c>
    </row>
    <row r="45" spans="2:12" x14ac:dyDescent="0.25">
      <c r="B45" s="10" t="s">
        <v>18</v>
      </c>
      <c r="C45" s="8">
        <v>4220</v>
      </c>
      <c r="F45" s="10" t="s">
        <v>2552</v>
      </c>
      <c r="G45" s="8">
        <v>6</v>
      </c>
      <c r="H45" s="8">
        <v>39</v>
      </c>
      <c r="I45" s="8">
        <v>163</v>
      </c>
      <c r="J45" s="8">
        <v>351</v>
      </c>
      <c r="K45" s="8">
        <v>250</v>
      </c>
      <c r="L45" s="8">
        <v>809</v>
      </c>
    </row>
    <row r="46" spans="2:12" x14ac:dyDescent="0.25">
      <c r="B46" s="10" t="s">
        <v>51</v>
      </c>
      <c r="C46" s="8">
        <v>1415</v>
      </c>
      <c r="F46" s="10" t="s">
        <v>2537</v>
      </c>
      <c r="G46" s="8">
        <v>21</v>
      </c>
      <c r="H46" s="8">
        <v>127</v>
      </c>
      <c r="I46" s="8">
        <v>495</v>
      </c>
      <c r="J46" s="8">
        <v>1036</v>
      </c>
      <c r="K46" s="8">
        <v>721</v>
      </c>
      <c r="L46" s="8">
        <v>2400</v>
      </c>
    </row>
    <row r="47" spans="2:12" x14ac:dyDescent="0.25">
      <c r="B47" s="10" t="s">
        <v>70</v>
      </c>
      <c r="C47" s="8">
        <v>1388</v>
      </c>
    </row>
    <row r="48" spans="2:12" x14ac:dyDescent="0.25">
      <c r="B48" s="10" t="s">
        <v>40</v>
      </c>
      <c r="C48" s="8">
        <v>2308</v>
      </c>
    </row>
    <row r="49" spans="2:3" x14ac:dyDescent="0.25">
      <c r="B49" s="10" t="s">
        <v>35</v>
      </c>
      <c r="C49" s="8">
        <v>2666</v>
      </c>
    </row>
    <row r="50" spans="2:3" x14ac:dyDescent="0.25">
      <c r="B50" s="10" t="s">
        <v>2537</v>
      </c>
      <c r="C50" s="8">
        <v>11997</v>
      </c>
    </row>
    <row r="52" spans="2:3" x14ac:dyDescent="0.25">
      <c r="B52" s="9" t="s">
        <v>2536</v>
      </c>
      <c r="C52" s="6" t="s">
        <v>2527</v>
      </c>
    </row>
    <row r="53" spans="2:3" x14ac:dyDescent="0.25">
      <c r="B53" s="10">
        <v>0</v>
      </c>
      <c r="C53" s="8">
        <v>175</v>
      </c>
    </row>
    <row r="54" spans="2:3" x14ac:dyDescent="0.25">
      <c r="B54" s="10">
        <v>1</v>
      </c>
      <c r="C54" s="8">
        <v>888</v>
      </c>
    </row>
    <row r="55" spans="2:3" x14ac:dyDescent="0.25">
      <c r="B55" s="10">
        <v>2</v>
      </c>
      <c r="C55" s="8">
        <v>538</v>
      </c>
    </row>
    <row r="56" spans="2:3" x14ac:dyDescent="0.25">
      <c r="B56" s="10">
        <v>3</v>
      </c>
      <c r="C56" s="8">
        <v>344</v>
      </c>
    </row>
    <row r="57" spans="2:3" x14ac:dyDescent="0.25">
      <c r="B57" s="10">
        <v>4</v>
      </c>
      <c r="C57" s="8">
        <v>200</v>
      </c>
    </row>
    <row r="58" spans="2:3" x14ac:dyDescent="0.25">
      <c r="B58" s="10">
        <v>5</v>
      </c>
      <c r="C58" s="8">
        <v>94</v>
      </c>
    </row>
    <row r="59" spans="2:3" x14ac:dyDescent="0.25">
      <c r="B59" s="10">
        <v>6</v>
      </c>
      <c r="C59" s="8">
        <v>51</v>
      </c>
    </row>
    <row r="60" spans="2:3" x14ac:dyDescent="0.25">
      <c r="B60" s="10">
        <v>7</v>
      </c>
      <c r="C60" s="8">
        <v>32</v>
      </c>
    </row>
    <row r="61" spans="2:3" x14ac:dyDescent="0.25">
      <c r="B61" s="10">
        <v>8</v>
      </c>
      <c r="C61" s="8">
        <v>23</v>
      </c>
    </row>
    <row r="62" spans="2:3" x14ac:dyDescent="0.25">
      <c r="B62" s="10">
        <v>9</v>
      </c>
      <c r="C62" s="8">
        <v>9</v>
      </c>
    </row>
    <row r="63" spans="2:3" x14ac:dyDescent="0.25">
      <c r="B63" s="10">
        <v>10</v>
      </c>
      <c r="C63" s="8">
        <v>8</v>
      </c>
    </row>
    <row r="64" spans="2:3" x14ac:dyDescent="0.25">
      <c r="B64" s="10">
        <v>11</v>
      </c>
      <c r="C64" s="8">
        <v>11</v>
      </c>
    </row>
    <row r="65" spans="2:3" x14ac:dyDescent="0.25">
      <c r="B65" s="10">
        <v>12</v>
      </c>
      <c r="C65" s="8">
        <v>4</v>
      </c>
    </row>
    <row r="66" spans="2:3" x14ac:dyDescent="0.25">
      <c r="B66" s="10">
        <v>13</v>
      </c>
      <c r="C66" s="8">
        <v>10</v>
      </c>
    </row>
    <row r="67" spans="2:3" x14ac:dyDescent="0.25">
      <c r="B67" s="10">
        <v>14</v>
      </c>
      <c r="C67" s="8">
        <v>13</v>
      </c>
    </row>
    <row r="68" spans="2:3" x14ac:dyDescent="0.25">
      <c r="B68" s="10" t="s">
        <v>2537</v>
      </c>
      <c r="C68" s="8">
        <v>2400</v>
      </c>
    </row>
  </sheetData>
  <mergeCells count="1">
    <mergeCell ref="H2:L2"/>
  </mergeCells>
  <conditionalFormatting sqref="N6:R11">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E908" workbookViewId="0">
      <selection activeCell="I7" sqref="I7"/>
    </sheetView>
  </sheetViews>
  <sheetFormatPr defaultRowHeight="15" x14ac:dyDescent="0.25"/>
  <cols>
    <col min="2" max="2" width="20.28515625" customWidth="1"/>
    <col min="3" max="3" width="13.5703125" customWidth="1"/>
    <col min="4" max="4" width="14.85546875" customWidth="1"/>
    <col min="5" max="5" width="11.28515625" customWidth="1"/>
    <col min="6" max="6" width="20.140625" customWidth="1"/>
    <col min="7" max="7" width="19.5703125" customWidth="1"/>
    <col min="8" max="8" width="15.7109375" bestFit="1" customWidth="1"/>
    <col min="9" max="9" width="10.7109375" bestFit="1" customWidth="1"/>
    <col min="10" max="10" width="15.140625" customWidth="1"/>
    <col min="11" max="11" width="19.140625" customWidth="1"/>
    <col min="12" max="12" width="32" customWidth="1"/>
    <col min="13" max="13" width="16.42578125" customWidth="1"/>
    <col min="14" max="14" width="10.5703125"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G18"/>
  <sheetViews>
    <sheetView workbookViewId="0">
      <selection activeCell="B7" sqref="B7"/>
    </sheetView>
  </sheetViews>
  <sheetFormatPr defaultRowHeight="15" x14ac:dyDescent="0.25"/>
  <cols>
    <col min="1" max="1" width="3.7109375" customWidth="1"/>
    <col min="2" max="2" width="52.7109375" customWidth="1"/>
  </cols>
  <sheetData>
    <row r="2" spans="2:7" x14ac:dyDescent="0.25">
      <c r="B2" s="3" t="s">
        <v>2503</v>
      </c>
    </row>
    <row r="3" spans="2:7" x14ac:dyDescent="0.25">
      <c r="B3" s="4" t="s">
        <v>2504</v>
      </c>
    </row>
    <row r="4" spans="2:7" x14ac:dyDescent="0.25">
      <c r="B4" s="4" t="s">
        <v>2505</v>
      </c>
    </row>
    <row r="5" spans="2:7" x14ac:dyDescent="0.25">
      <c r="B5" s="4" t="s">
        <v>2506</v>
      </c>
    </row>
    <row r="6" spans="2:7" x14ac:dyDescent="0.25">
      <c r="B6" s="4" t="s">
        <v>2507</v>
      </c>
    </row>
    <row r="7" spans="2:7" x14ac:dyDescent="0.25">
      <c r="B7" s="4" t="s">
        <v>2508</v>
      </c>
    </row>
    <row r="10" spans="2:7" x14ac:dyDescent="0.25">
      <c r="B10" s="3" t="s">
        <v>2509</v>
      </c>
      <c r="F10" t="s">
        <v>2518</v>
      </c>
    </row>
    <row r="11" spans="2:7" x14ac:dyDescent="0.25">
      <c r="B11" t="s">
        <v>2510</v>
      </c>
      <c r="F11" t="s">
        <v>2519</v>
      </c>
      <c r="G11" t="s">
        <v>2524</v>
      </c>
    </row>
    <row r="12" spans="2:7" x14ac:dyDescent="0.25">
      <c r="B12" t="s">
        <v>2511</v>
      </c>
      <c r="F12" t="s">
        <v>2520</v>
      </c>
      <c r="G12" t="s">
        <v>2</v>
      </c>
    </row>
    <row r="13" spans="2:7" x14ac:dyDescent="0.25">
      <c r="B13" t="s">
        <v>2512</v>
      </c>
      <c r="F13" t="s">
        <v>2521</v>
      </c>
      <c r="G13" t="s">
        <v>4</v>
      </c>
    </row>
    <row r="14" spans="2:7" x14ac:dyDescent="0.25">
      <c r="B14" t="s">
        <v>2513</v>
      </c>
      <c r="F14" t="s">
        <v>2522</v>
      </c>
      <c r="G14" t="s">
        <v>2525</v>
      </c>
    </row>
    <row r="15" spans="2:7" x14ac:dyDescent="0.25">
      <c r="B15" t="s">
        <v>2514</v>
      </c>
      <c r="F15" t="s">
        <v>2523</v>
      </c>
      <c r="G15" t="s">
        <v>2526</v>
      </c>
    </row>
    <row r="16" spans="2:7" x14ac:dyDescent="0.25">
      <c r="B16" t="s">
        <v>2515</v>
      </c>
    </row>
    <row r="17" spans="2:2" x14ac:dyDescent="0.25">
      <c r="B17" t="s">
        <v>2516</v>
      </c>
    </row>
    <row r="18" spans="2:2" x14ac:dyDescent="0.25">
      <c r="B18" t="s">
        <v>2517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F118-68B1-4BB4-BAC3-FD6D92F35F18}">
  <dimension ref="A1:AA27"/>
  <sheetViews>
    <sheetView tabSelected="1" zoomScale="80" workbookViewId="0">
      <selection activeCell="AC13" sqref="AC13"/>
    </sheetView>
  </sheetViews>
  <sheetFormatPr defaultRowHeight="15" x14ac:dyDescent="0.25"/>
  <cols>
    <col min="26" max="26" width="7.42578125" customWidth="1"/>
    <col min="27" max="27" width="1.85546875" customWidth="1"/>
  </cols>
  <sheetData>
    <row r="1" spans="1:26" x14ac:dyDescent="0.25">
      <c r="A1" s="5"/>
      <c r="B1" s="5"/>
      <c r="C1" s="5"/>
      <c r="D1" s="5"/>
      <c r="E1" s="5"/>
      <c r="F1" s="5"/>
      <c r="G1" s="5"/>
      <c r="H1" s="5"/>
      <c r="I1" s="5"/>
      <c r="J1" s="5"/>
      <c r="K1" s="5"/>
      <c r="L1" s="5"/>
      <c r="M1" s="5"/>
      <c r="N1" s="5"/>
      <c r="O1" s="5"/>
      <c r="P1" s="5"/>
      <c r="Q1" s="5"/>
      <c r="R1" s="5"/>
      <c r="S1" s="5"/>
      <c r="T1" s="5"/>
      <c r="U1" s="5"/>
      <c r="V1" s="5"/>
      <c r="W1" s="5"/>
      <c r="X1" s="5"/>
      <c r="Y1" s="5"/>
      <c r="Z1" s="5"/>
    </row>
    <row r="2" spans="1:26" x14ac:dyDescent="0.25">
      <c r="A2" s="5"/>
      <c r="B2" s="5"/>
      <c r="C2" s="5"/>
      <c r="D2" s="5"/>
      <c r="E2" s="5"/>
      <c r="F2" s="5"/>
      <c r="G2" s="5"/>
      <c r="H2" s="5"/>
      <c r="I2" s="5"/>
      <c r="J2" s="5"/>
      <c r="K2" s="5"/>
      <c r="L2" s="5"/>
      <c r="M2" s="5"/>
      <c r="N2" s="5"/>
      <c r="O2" s="5"/>
      <c r="P2" s="5"/>
      <c r="Q2" s="5"/>
      <c r="R2" s="5"/>
      <c r="S2" s="5"/>
      <c r="T2" s="5"/>
      <c r="U2" s="5"/>
      <c r="V2" s="5"/>
      <c r="W2" s="5"/>
      <c r="X2" s="5"/>
      <c r="Y2" s="5"/>
      <c r="Z2" s="5"/>
    </row>
    <row r="3" spans="1:26" x14ac:dyDescent="0.25">
      <c r="A3" s="5"/>
      <c r="B3" s="5"/>
      <c r="C3" s="5"/>
      <c r="D3" s="5"/>
      <c r="E3" s="5"/>
      <c r="F3" s="5"/>
      <c r="G3" s="5"/>
      <c r="H3" s="5"/>
      <c r="I3" s="5"/>
      <c r="J3" s="5"/>
      <c r="K3" s="5"/>
      <c r="L3" s="5"/>
      <c r="M3" s="5"/>
      <c r="N3" s="5"/>
      <c r="O3" s="5"/>
      <c r="P3" s="5"/>
      <c r="Q3" s="5"/>
      <c r="R3" s="5"/>
      <c r="S3" s="5"/>
      <c r="T3" s="5"/>
      <c r="U3" s="5"/>
      <c r="V3" s="5"/>
      <c r="W3" s="5"/>
      <c r="X3" s="5"/>
      <c r="Y3" s="5"/>
      <c r="Z3" s="5"/>
    </row>
    <row r="4" spans="1:26" x14ac:dyDescent="0.25">
      <c r="A4" s="5"/>
      <c r="B4" s="5"/>
      <c r="C4" s="5"/>
      <c r="D4" s="5"/>
      <c r="E4" s="5"/>
      <c r="F4" s="5"/>
      <c r="G4" s="5"/>
      <c r="H4" s="5"/>
      <c r="I4" s="5"/>
      <c r="J4" s="5"/>
      <c r="K4" s="5"/>
      <c r="L4" s="5"/>
      <c r="M4" s="5"/>
      <c r="N4" s="5"/>
      <c r="O4" s="5"/>
      <c r="P4" s="5"/>
      <c r="Q4" s="5"/>
      <c r="R4" s="5"/>
      <c r="S4" s="5"/>
      <c r="T4" s="5"/>
      <c r="U4" s="5"/>
      <c r="V4" s="5"/>
      <c r="W4" s="5"/>
      <c r="X4" s="5"/>
      <c r="Y4" s="5"/>
      <c r="Z4" s="5"/>
    </row>
    <row r="5" spans="1:26" x14ac:dyDescent="0.25">
      <c r="A5" s="5"/>
      <c r="B5" s="5"/>
      <c r="C5" s="5"/>
      <c r="D5" s="5"/>
      <c r="E5" s="5"/>
      <c r="F5" s="5"/>
      <c r="G5" s="5"/>
      <c r="H5" s="5"/>
      <c r="I5" s="5"/>
      <c r="J5" s="5"/>
      <c r="K5" s="5"/>
      <c r="L5" s="5"/>
      <c r="M5" s="5"/>
      <c r="N5" s="5"/>
      <c r="O5" s="5"/>
      <c r="P5" s="5"/>
      <c r="Q5" s="5"/>
      <c r="R5" s="5"/>
      <c r="S5" s="5"/>
      <c r="T5" s="5"/>
      <c r="U5" s="5"/>
      <c r="V5" s="5"/>
      <c r="W5" s="5"/>
      <c r="X5" s="5"/>
      <c r="Y5" s="5"/>
      <c r="Z5" s="5"/>
    </row>
    <row r="6" spans="1:26" x14ac:dyDescent="0.25">
      <c r="A6" s="5"/>
      <c r="B6" s="5"/>
      <c r="C6" s="5"/>
      <c r="D6" s="5"/>
      <c r="E6" s="5"/>
      <c r="F6" s="5"/>
      <c r="G6" s="5"/>
      <c r="H6" s="5"/>
      <c r="I6" s="5"/>
      <c r="J6" s="5"/>
      <c r="K6" s="5"/>
      <c r="L6" s="5"/>
      <c r="M6" s="5"/>
      <c r="N6" s="5"/>
      <c r="O6" s="5"/>
      <c r="P6" s="5"/>
      <c r="Q6" s="5"/>
      <c r="R6" s="5"/>
      <c r="S6" s="5"/>
      <c r="T6" s="5"/>
      <c r="U6" s="5"/>
      <c r="V6" s="5"/>
      <c r="W6" s="5"/>
      <c r="X6" s="5"/>
      <c r="Y6" s="5"/>
      <c r="Z6" s="5"/>
    </row>
    <row r="7" spans="1:26" x14ac:dyDescent="0.25">
      <c r="A7" s="5"/>
      <c r="B7" s="5"/>
      <c r="C7" s="5"/>
      <c r="D7" s="5"/>
      <c r="E7" s="5"/>
      <c r="F7" s="5"/>
      <c r="G7" s="5"/>
      <c r="H7" s="5"/>
      <c r="I7" s="5"/>
      <c r="J7" s="5"/>
      <c r="K7" s="5"/>
      <c r="L7" s="5"/>
      <c r="M7" s="5"/>
      <c r="N7" s="5"/>
      <c r="O7" s="5"/>
      <c r="P7" s="5"/>
      <c r="Q7" s="5"/>
      <c r="R7" s="5"/>
      <c r="S7" s="5"/>
      <c r="T7" s="5"/>
      <c r="U7" s="5"/>
      <c r="V7" s="5"/>
      <c r="W7" s="5"/>
      <c r="X7" s="5"/>
      <c r="Y7" s="5"/>
      <c r="Z7" s="5"/>
    </row>
    <row r="8" spans="1:26" x14ac:dyDescent="0.25">
      <c r="A8" s="5"/>
      <c r="B8" s="5"/>
      <c r="C8" s="5"/>
      <c r="D8" s="5"/>
      <c r="E8" s="5"/>
      <c r="F8" s="5"/>
      <c r="G8" s="5"/>
      <c r="H8" s="5"/>
      <c r="I8" s="5"/>
      <c r="J8" s="5"/>
      <c r="K8" s="5"/>
      <c r="L8" s="5"/>
      <c r="M8" s="5"/>
      <c r="N8" s="5"/>
      <c r="O8" s="5"/>
      <c r="P8" s="5"/>
      <c r="Q8" s="5"/>
      <c r="R8" s="5"/>
      <c r="S8" s="5"/>
      <c r="T8" s="5"/>
      <c r="U8" s="5"/>
      <c r="V8" s="5"/>
      <c r="W8" s="5"/>
      <c r="X8" s="5"/>
      <c r="Y8" s="5"/>
      <c r="Z8" s="5"/>
    </row>
    <row r="9" spans="1:26" x14ac:dyDescent="0.25">
      <c r="A9" s="5"/>
      <c r="B9" s="5"/>
      <c r="C9" s="5"/>
      <c r="D9" s="5"/>
      <c r="E9" s="5"/>
      <c r="F9" s="5"/>
      <c r="G9" s="5"/>
      <c r="H9" s="5"/>
      <c r="I9" s="5"/>
      <c r="J9" s="5"/>
      <c r="K9" s="5"/>
      <c r="L9" s="5"/>
      <c r="M9" s="5"/>
      <c r="N9" s="5"/>
      <c r="O9" s="5"/>
      <c r="P9" s="5"/>
      <c r="Q9" s="5"/>
      <c r="R9" s="5"/>
      <c r="S9" s="5"/>
      <c r="T9" s="5"/>
      <c r="U9" s="5"/>
      <c r="V9" s="5"/>
      <c r="W9" s="5"/>
      <c r="X9" s="5"/>
      <c r="Y9" s="5"/>
      <c r="Z9" s="5"/>
    </row>
    <row r="10" spans="1:26" x14ac:dyDescent="0.2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2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sheetData>
  <mergeCells count="1">
    <mergeCell ref="A1:Z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Source 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Sagar Valmiki</cp:lastModifiedBy>
  <dcterms:created xsi:type="dcterms:W3CDTF">2025-06-13T02:42:26Z</dcterms:created>
  <dcterms:modified xsi:type="dcterms:W3CDTF">2026-09-11T17:02:23Z</dcterms:modified>
</cp:coreProperties>
</file>